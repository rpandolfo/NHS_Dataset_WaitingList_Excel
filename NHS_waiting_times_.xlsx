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ef52bebd2c7751a/Desktop/"/>
    </mc:Choice>
  </mc:AlternateContent>
  <xr:revisionPtr revIDLastSave="378" documentId="8_{507A2198-6A9F-4F71-959E-E43007EABCF8}" xr6:coauthVersionLast="47" xr6:coauthVersionMax="47" xr10:uidLastSave="{042E1F02-8052-44F0-9D57-42B76491FAA3}"/>
  <bookViews>
    <workbookView xWindow="-110" yWindow="-110" windowWidth="22620" windowHeight="13500" activeTab="2" xr2:uid="{00000000-000D-0000-FFFF-FFFF00000000}"/>
  </bookViews>
  <sheets>
    <sheet name="Raw clean datasets" sheetId="1" r:id="rId1"/>
    <sheet name="Results" sheetId="2" r:id="rId2"/>
    <sheet name="Waiting list Pivot Tables" sheetId="5" r:id="rId3"/>
  </sheets>
  <definedNames>
    <definedName name="_xlnm._FilterDatabase" localSheetId="0" hidden="1">'Raw clean datasets'!$A$1:$M$101</definedName>
  </definedNames>
  <calcPr calcId="191029"/>
  <pivotCaches>
    <pivotCache cacheId="2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3" i="1" l="1"/>
</calcChain>
</file>

<file path=xl/sharedStrings.xml><?xml version="1.0" encoding="utf-8"?>
<sst xmlns="http://schemas.openxmlformats.org/spreadsheetml/2006/main" count="1186" uniqueCount="306">
  <si>
    <t>patient_id</t>
  </si>
  <si>
    <t>trust_code</t>
  </si>
  <si>
    <t>trust_name</t>
  </si>
  <si>
    <t>service_type</t>
  </si>
  <si>
    <t>referral_date</t>
  </si>
  <si>
    <t>appointment_date</t>
  </si>
  <si>
    <t>wait_days</t>
  </si>
  <si>
    <t>wait_category</t>
  </si>
  <si>
    <t>age_group</t>
  </si>
  <si>
    <t>gender</t>
  </si>
  <si>
    <t>ethnicity</t>
  </si>
  <si>
    <t>deprivation_quintile</t>
  </si>
  <si>
    <t>month</t>
  </si>
  <si>
    <t>P0001</t>
  </si>
  <si>
    <t>RCD</t>
  </si>
  <si>
    <t>Southport NHS Trust</t>
  </si>
  <si>
    <t>Outpatient</t>
  </si>
  <si>
    <t>2024-02-09</t>
  </si>
  <si>
    <t>2024-06-21</t>
  </si>
  <si>
    <t>18-52 weeks</t>
  </si>
  <si>
    <t>45-64</t>
  </si>
  <si>
    <t>Male</t>
  </si>
  <si>
    <t>Asian</t>
  </si>
  <si>
    <t>2024-03</t>
  </si>
  <si>
    <t>P0002</t>
  </si>
  <si>
    <t>2023-12-20</t>
  </si>
  <si>
    <t>2024-02-24</t>
  </si>
  <si>
    <t>&lt;18 weeks</t>
  </si>
  <si>
    <t>65+</t>
  </si>
  <si>
    <t>Female</t>
  </si>
  <si>
    <t>2024-02</t>
  </si>
  <si>
    <t>P0003</t>
  </si>
  <si>
    <t>Diagnostic</t>
  </si>
  <si>
    <t>2023-10-26</t>
  </si>
  <si>
    <t>2024-01-06</t>
  </si>
  <si>
    <t>P0004</t>
  </si>
  <si>
    <t>RJZ</t>
  </si>
  <si>
    <t>Northshire NHS Trust</t>
  </si>
  <si>
    <t>Inpatient</t>
  </si>
  <si>
    <t>2023-11-06</t>
  </si>
  <si>
    <t>2024-04-10</t>
  </si>
  <si>
    <t>Mixed</t>
  </si>
  <si>
    <t>2024-04</t>
  </si>
  <si>
    <t>P0005</t>
  </si>
  <si>
    <t>2023-10-05</t>
  </si>
  <si>
    <t>2023-12-17</t>
  </si>
  <si>
    <t>White</t>
  </si>
  <si>
    <t>P0006</t>
  </si>
  <si>
    <t>RAB</t>
  </si>
  <si>
    <t>Westvale NHS Trust</t>
  </si>
  <si>
    <t>2024-02-28</t>
  </si>
  <si>
    <t>2024-05-12</t>
  </si>
  <si>
    <t>2024-01</t>
  </si>
  <si>
    <t>P0007</t>
  </si>
  <si>
    <t>2023-10-16</t>
  </si>
  <si>
    <t>2023-12-28</t>
  </si>
  <si>
    <t>P0008</t>
  </si>
  <si>
    <t>2024-01-04</t>
  </si>
  <si>
    <t>2024-03-09</t>
  </si>
  <si>
    <t>P0009</t>
  </si>
  <si>
    <t>2024-02-26</t>
  </si>
  <si>
    <t>2024-06-30</t>
  </si>
  <si>
    <t>P0010</t>
  </si>
  <si>
    <t>2024-02-06</t>
  </si>
  <si>
    <t>2024-07-12</t>
  </si>
  <si>
    <t>Black</t>
  </si>
  <si>
    <t>P0011</t>
  </si>
  <si>
    <t>2024-01-05</t>
  </si>
  <si>
    <t>2024-05-08</t>
  </si>
  <si>
    <t>P0012</t>
  </si>
  <si>
    <t>2023-12-18</t>
  </si>
  <si>
    <t>2024-05-15</t>
  </si>
  <si>
    <t>P0013</t>
  </si>
  <si>
    <t>2023-10-15</t>
  </si>
  <si>
    <t>2023-11-21</t>
  </si>
  <si>
    <t>P0014</t>
  </si>
  <si>
    <t>2023-10-12</t>
  </si>
  <si>
    <t>2024-03-04</t>
  </si>
  <si>
    <t>P0015</t>
  </si>
  <si>
    <t>2024-01-23</t>
  </si>
  <si>
    <t>P0016</t>
  </si>
  <si>
    <t>2023-12-04</t>
  </si>
  <si>
    <t>2024-03-10</t>
  </si>
  <si>
    <t>P0017</t>
  </si>
  <si>
    <t>2023-12-05</t>
  </si>
  <si>
    <t>18-44</t>
  </si>
  <si>
    <t>P0018</t>
  </si>
  <si>
    <t>2023-12-03</t>
  </si>
  <si>
    <t>2024-03-13</t>
  </si>
  <si>
    <t>P0019</t>
  </si>
  <si>
    <t>2024-01-26</t>
  </si>
  <si>
    <t>2024-07-01</t>
  </si>
  <si>
    <t>P0020</t>
  </si>
  <si>
    <t>2023-11-19</t>
  </si>
  <si>
    <t>2024-02-08</t>
  </si>
  <si>
    <t>P0021</t>
  </si>
  <si>
    <t>2024-01-10</t>
  </si>
  <si>
    <t>P0022</t>
  </si>
  <si>
    <t>2024-02-17</t>
  </si>
  <si>
    <t>P0023</t>
  </si>
  <si>
    <t>2024-01-28</t>
  </si>
  <si>
    <t>2024-06-19</t>
  </si>
  <si>
    <t>P0024</t>
  </si>
  <si>
    <t>2024-01-27</t>
  </si>
  <si>
    <t>P0025</t>
  </si>
  <si>
    <t>2023-10-02</t>
  </si>
  <si>
    <t>2023-11-25</t>
  </si>
  <si>
    <t>P0026</t>
  </si>
  <si>
    <t>2023-11-29</t>
  </si>
  <si>
    <t>P0027</t>
  </si>
  <si>
    <t>2023-12-02</t>
  </si>
  <si>
    <t>2023-12-23</t>
  </si>
  <si>
    <t>P0028</t>
  </si>
  <si>
    <t>2023-10-24</t>
  </si>
  <si>
    <t>2024-03-03</t>
  </si>
  <si>
    <t>P0029</t>
  </si>
  <si>
    <t>2023-11-03</t>
  </si>
  <si>
    <t>2024-04-09</t>
  </si>
  <si>
    <t>P0030</t>
  </si>
  <si>
    <t>2023-12-19</t>
  </si>
  <si>
    <t>2024-05-14</t>
  </si>
  <si>
    <t>P0031</t>
  </si>
  <si>
    <t>2024-04-27</t>
  </si>
  <si>
    <t>P0032</t>
  </si>
  <si>
    <t>2024-05-16</t>
  </si>
  <si>
    <t>P0033</t>
  </si>
  <si>
    <t>P0034</t>
  </si>
  <si>
    <t>2023-10-25</t>
  </si>
  <si>
    <t>P0035</t>
  </si>
  <si>
    <t>2024-04-14</t>
  </si>
  <si>
    <t>P0036</t>
  </si>
  <si>
    <t>2023-11-23</t>
  </si>
  <si>
    <t>2024-01-07</t>
  </si>
  <si>
    <t>P0037</t>
  </si>
  <si>
    <t>2024-03-07</t>
  </si>
  <si>
    <t>P0038</t>
  </si>
  <si>
    <t>P0039</t>
  </si>
  <si>
    <t>2023-10-08</t>
  </si>
  <si>
    <t>2024-03-01</t>
  </si>
  <si>
    <t>P0040</t>
  </si>
  <si>
    <t>2023-11-30</t>
  </si>
  <si>
    <t>2024-02-10</t>
  </si>
  <si>
    <t>P0041</t>
  </si>
  <si>
    <t>2024-02-01</t>
  </si>
  <si>
    <t>2024-06-11</t>
  </si>
  <si>
    <t>P0042</t>
  </si>
  <si>
    <t>2023-12-09</t>
  </si>
  <si>
    <t>2024-05-06</t>
  </si>
  <si>
    <t>P0043</t>
  </si>
  <si>
    <t>2023-11-14</t>
  </si>
  <si>
    <t>P0044</t>
  </si>
  <si>
    <t>2023-12-30</t>
  </si>
  <si>
    <t>2024-05-24</t>
  </si>
  <si>
    <t>P0045</t>
  </si>
  <si>
    <t>P0046</t>
  </si>
  <si>
    <t>2023-10-17</t>
  </si>
  <si>
    <t>2024-02-16</t>
  </si>
  <si>
    <t>P0047</t>
  </si>
  <si>
    <t>2024-02-02</t>
  </si>
  <si>
    <t>P0048</t>
  </si>
  <si>
    <t>P0049</t>
  </si>
  <si>
    <t>2023-11-15</t>
  </si>
  <si>
    <t>2024-02-27</t>
  </si>
  <si>
    <t>P0050</t>
  </si>
  <si>
    <t>2024-07-21</t>
  </si>
  <si>
    <t>P0051</t>
  </si>
  <si>
    <t>2024-06-24</t>
  </si>
  <si>
    <t>P0052</t>
  </si>
  <si>
    <t>2023-12-06</t>
  </si>
  <si>
    <t>P0053</t>
  </si>
  <si>
    <t>2024-01-14</t>
  </si>
  <si>
    <t>2024-03-06</t>
  </si>
  <si>
    <t>P0054</t>
  </si>
  <si>
    <t>2023-10-30</t>
  </si>
  <si>
    <t>2024-02-19</t>
  </si>
  <si>
    <t>P0055</t>
  </si>
  <si>
    <t>2023-10-20</t>
  </si>
  <si>
    <t>2023-12-26</t>
  </si>
  <si>
    <t>P0056</t>
  </si>
  <si>
    <t>P0057</t>
  </si>
  <si>
    <t>2023-11-05</t>
  </si>
  <si>
    <t>2024-03-29</t>
  </si>
  <si>
    <t>P0058</t>
  </si>
  <si>
    <t>2023-10-04</t>
  </si>
  <si>
    <t>2024-01-12</t>
  </si>
  <si>
    <t>P0059</t>
  </si>
  <si>
    <t>2023-11-18</t>
  </si>
  <si>
    <t>2024-01-11</t>
  </si>
  <si>
    <t>P0060</t>
  </si>
  <si>
    <t>2023-12-08</t>
  </si>
  <si>
    <t>2024-03-27</t>
  </si>
  <si>
    <t>P0061</t>
  </si>
  <si>
    <t>2024-04-28</t>
  </si>
  <si>
    <t>P0062</t>
  </si>
  <si>
    <t>2023-11-27</t>
  </si>
  <si>
    <t>2024-01-20</t>
  </si>
  <si>
    <t>P0063</t>
  </si>
  <si>
    <t>2024-07-06</t>
  </si>
  <si>
    <t>P0064</t>
  </si>
  <si>
    <t>2024-05-09</t>
  </si>
  <si>
    <t>P0065</t>
  </si>
  <si>
    <t>2024-05-13</t>
  </si>
  <si>
    <t>P0066</t>
  </si>
  <si>
    <t>2024-03-12</t>
  </si>
  <si>
    <t>P0067</t>
  </si>
  <si>
    <t>2023-11-01</t>
  </si>
  <si>
    <t>P0068</t>
  </si>
  <si>
    <t>2023-10-13</t>
  </si>
  <si>
    <t>2024-01-29</t>
  </si>
  <si>
    <t>P0069</t>
  </si>
  <si>
    <t>P0070</t>
  </si>
  <si>
    <t>2023-11-02</t>
  </si>
  <si>
    <t>P0071</t>
  </si>
  <si>
    <t>2024-01-31</t>
  </si>
  <si>
    <t>P0072</t>
  </si>
  <si>
    <t>2024-02-13</t>
  </si>
  <si>
    <t>2024-06-16</t>
  </si>
  <si>
    <t>P0073</t>
  </si>
  <si>
    <t>2023-10-21</t>
  </si>
  <si>
    <t>P0074</t>
  </si>
  <si>
    <t>2024-01-03</t>
  </si>
  <si>
    <t>P0075</t>
  </si>
  <si>
    <t>2024-05-05</t>
  </si>
  <si>
    <t>P0076</t>
  </si>
  <si>
    <t>2024-03-18</t>
  </si>
  <si>
    <t>P0077</t>
  </si>
  <si>
    <t>2024-02-11</t>
  </si>
  <si>
    <t>2024-07-16</t>
  </si>
  <si>
    <t>P0078</t>
  </si>
  <si>
    <t>P0079</t>
  </si>
  <si>
    <t>2024-06-08</t>
  </si>
  <si>
    <t>P0080</t>
  </si>
  <si>
    <t>2024-02-15</t>
  </si>
  <si>
    <t>P0081</t>
  </si>
  <si>
    <t>P0082</t>
  </si>
  <si>
    <t>2023-10-28</t>
  </si>
  <si>
    <t>2023-11-17</t>
  </si>
  <si>
    <t>P0083</t>
  </si>
  <si>
    <t>P0084</t>
  </si>
  <si>
    <t>2023-12-21</t>
  </si>
  <si>
    <t>P0085</t>
  </si>
  <si>
    <t>2023-11-12</t>
  </si>
  <si>
    <t>2024-04-11</t>
  </si>
  <si>
    <t>P0086</t>
  </si>
  <si>
    <t>2024-01-08</t>
  </si>
  <si>
    <t>P0087</t>
  </si>
  <si>
    <t>2024-01-16</t>
  </si>
  <si>
    <t>2024-04-08</t>
  </si>
  <si>
    <t>P0088</t>
  </si>
  <si>
    <t>2024-02-25</t>
  </si>
  <si>
    <t>P0089</t>
  </si>
  <si>
    <t>2024-05-31</t>
  </si>
  <si>
    <t>P0090</t>
  </si>
  <si>
    <t>2023-12-24</t>
  </si>
  <si>
    <t>2024-05-29</t>
  </si>
  <si>
    <t>P0091</t>
  </si>
  <si>
    <t>2024-02-14</t>
  </si>
  <si>
    <t>P0092</t>
  </si>
  <si>
    <t>2024-04-06</t>
  </si>
  <si>
    <t>P0093</t>
  </si>
  <si>
    <t>P0094</t>
  </si>
  <si>
    <t>2024-07-17</t>
  </si>
  <si>
    <t>P0095</t>
  </si>
  <si>
    <t>P0096</t>
  </si>
  <si>
    <t>2023-11-28</t>
  </si>
  <si>
    <t>P0097</t>
  </si>
  <si>
    <t>2024-05-04</t>
  </si>
  <si>
    <t>P0098</t>
  </si>
  <si>
    <t>2024-01-02</t>
  </si>
  <si>
    <t>P0099</t>
  </si>
  <si>
    <t>2023-11-26</t>
  </si>
  <si>
    <t>P0100</t>
  </si>
  <si>
    <t>Explanation</t>
  </si>
  <si>
    <t>Mean number of days patients waited from referral to appointment</t>
  </si>
  <si>
    <t>Middle value of waiting times, less affected by extreme waits</t>
  </si>
  <si>
    <t>Proportion of patients meeting NHS RTT standard</t>
  </si>
  <si>
    <t>Indicator of long-wait backlog</t>
  </si>
  <si>
    <t>Average wait – Westvale NHS Trust</t>
  </si>
  <si>
    <t>Used to compare performance between NHS Trusts</t>
  </si>
  <si>
    <t>Average wait – Southport NHS Trust</t>
  </si>
  <si>
    <t>Average wait – Northshire NHS Trust</t>
  </si>
  <si>
    <t>Comparison of waiting times by service type</t>
  </si>
  <si>
    <t>Average waiting time (days) - ALL Trusts</t>
  </si>
  <si>
    <t>Median waiting time (days) - ALL Trusts</t>
  </si>
  <si>
    <t>Patients waiting over 52 weeks - ALL Patients</t>
  </si>
  <si>
    <t>Patients are seen before 18 weeks - ALL Patients</t>
  </si>
  <si>
    <t>Patients are seen beetween 18-52 weeks - ALL Patients</t>
  </si>
  <si>
    <t>Proportion of patients over NHS RTT standard</t>
  </si>
  <si>
    <t>Average wait – Outpatient - ALL Patients</t>
  </si>
  <si>
    <t>Average wait – Inpatient - ALL Patients</t>
  </si>
  <si>
    <t>Average wait – Diagnostic - ALL Patients</t>
  </si>
  <si>
    <t>Metrics</t>
  </si>
  <si>
    <t xml:space="preserve">Patients are seen before 18 weeks </t>
  </si>
  <si>
    <t>Patients are seen beetween 18-52 weeks</t>
  </si>
  <si>
    <t xml:space="preserve">Patients waiting over 52 weeks </t>
  </si>
  <si>
    <t>Results (DAYS)</t>
  </si>
  <si>
    <t>Average wait –  age 18-44 - ALL Patients</t>
  </si>
  <si>
    <t>Average wait –  age 45-64 - ALL Patients</t>
  </si>
  <si>
    <t>Average wait –  over 65 - ALL Patients</t>
  </si>
  <si>
    <t>Lower waiting time with age increase</t>
  </si>
  <si>
    <t>Higer waiting time for the younger age group</t>
  </si>
  <si>
    <t>Row Labels</t>
  </si>
  <si>
    <t>Grand Total</t>
  </si>
  <si>
    <t>Average of wait_days</t>
  </si>
  <si>
    <t>(All)</t>
  </si>
  <si>
    <t>Filters apply for 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</si>
</sst>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0" fillId="0" borderId="0" xfId="0"/>
    <xf numFmtId="0" fontId="0" fillId="3" borderId="0" xfId="0" applyFill="1"/>
    <xf numFmtId="1" fontId="0" fillId="0" borderId="0" xfId="0" applyNumberFormat="1"/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a" refreshedDate="46063.641793287039" createdVersion="8" refreshedVersion="8" minRefreshableVersion="3" recordCount="100" xr:uid="{6761EF47-71E9-446A-9AB0-7893CD7C86AE}">
  <cacheSource type="worksheet">
    <worksheetSource ref="A1:M101" sheet="Raw clean datasets"/>
  </cacheSource>
  <cacheFields count="13">
    <cacheField name="patient_id" numFmtId="0">
      <sharedItems/>
    </cacheField>
    <cacheField name="trust_code" numFmtId="0">
      <sharedItems count="3">
        <s v="RCD"/>
        <s v="RJZ"/>
        <s v="RAB"/>
      </sharedItems>
    </cacheField>
    <cacheField name="trust_name" numFmtId="0">
      <sharedItems count="3">
        <s v="Southport NHS Trust"/>
        <s v="Northshire NHS Trust"/>
        <s v="Westvale NHS Trust"/>
      </sharedItems>
    </cacheField>
    <cacheField name="service_type" numFmtId="0">
      <sharedItems/>
    </cacheField>
    <cacheField name="referral_date" numFmtId="0">
      <sharedItems/>
    </cacheField>
    <cacheField name="appointment_date" numFmtId="0">
      <sharedItems/>
    </cacheField>
    <cacheField name="wait_days" numFmtId="0">
      <sharedItems containsSemiMixedTypes="0" containsString="0" containsNumber="1" containsInteger="1" minValue="8" maxValue="160"/>
    </cacheField>
    <cacheField name="wait_category" numFmtId="0">
      <sharedItems/>
    </cacheField>
    <cacheField name="age_group" numFmtId="0">
      <sharedItems count="3">
        <s v="45-64"/>
        <s v="65+"/>
        <s v="18-44"/>
      </sharedItems>
    </cacheField>
    <cacheField name="gender" numFmtId="0">
      <sharedItems count="2">
        <s v="Male"/>
        <s v="Female"/>
      </sharedItems>
    </cacheField>
    <cacheField name="ethnicity" numFmtId="0">
      <sharedItems count="4">
        <s v="Asian"/>
        <s v="Mixed"/>
        <s v="White"/>
        <s v="Black"/>
      </sharedItems>
    </cacheField>
    <cacheField name="deprivation_quintile" numFmtId="0">
      <sharedItems containsSemiMixedTypes="0" containsString="0" containsNumber="1" containsInteger="1" minValue="1" maxValue="5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0001"/>
    <x v="0"/>
    <x v="0"/>
    <s v="Outpatient"/>
    <s v="2024-02-09"/>
    <s v="2024-06-21"/>
    <n v="133"/>
    <s v="&lt;18 weeks"/>
    <x v="0"/>
    <x v="0"/>
    <x v="0"/>
    <n v="1"/>
    <s v="2024-03"/>
  </r>
  <r>
    <s v="P0002"/>
    <x v="0"/>
    <x v="0"/>
    <s v="Outpatient"/>
    <s v="2023-12-20"/>
    <s v="2024-02-24"/>
    <n v="66"/>
    <s v="&lt;18 weeks"/>
    <x v="1"/>
    <x v="1"/>
    <x v="0"/>
    <n v="2"/>
    <s v="2024-02"/>
  </r>
  <r>
    <s v="P0003"/>
    <x v="0"/>
    <x v="0"/>
    <s v="Diagnostic"/>
    <s v="2023-10-26"/>
    <s v="2024-01-06"/>
    <n v="72"/>
    <s v="&lt;18 weeks"/>
    <x v="0"/>
    <x v="0"/>
    <x v="0"/>
    <n v="5"/>
    <s v="2024-03"/>
  </r>
  <r>
    <s v="P0004"/>
    <x v="1"/>
    <x v="1"/>
    <s v="Inpatient"/>
    <s v="2023-11-06"/>
    <s v="2024-04-10"/>
    <n v="156"/>
    <s v="18-52 weeks"/>
    <x v="1"/>
    <x v="0"/>
    <x v="1"/>
    <n v="2"/>
    <s v="2024-04"/>
  </r>
  <r>
    <s v="P0005"/>
    <x v="0"/>
    <x v="0"/>
    <s v="Inpatient"/>
    <s v="2023-10-05"/>
    <s v="2023-12-17"/>
    <n v="73"/>
    <s v="18-52 weeks"/>
    <x v="0"/>
    <x v="1"/>
    <x v="2"/>
    <n v="2"/>
    <s v="2024-03"/>
  </r>
  <r>
    <s v="P0006"/>
    <x v="2"/>
    <x v="2"/>
    <s v="Diagnostic"/>
    <s v="2024-02-28"/>
    <s v="2024-05-12"/>
    <n v="74"/>
    <s v="&lt;18 weeks"/>
    <x v="1"/>
    <x v="1"/>
    <x v="1"/>
    <n v="2"/>
    <s v="2024-01"/>
  </r>
  <r>
    <s v="P0007"/>
    <x v="1"/>
    <x v="1"/>
    <s v="Inpatient"/>
    <s v="2023-10-16"/>
    <s v="2023-12-28"/>
    <n v="73"/>
    <s v="18-52 weeks"/>
    <x v="0"/>
    <x v="0"/>
    <x v="0"/>
    <n v="2"/>
    <s v="2024-04"/>
  </r>
  <r>
    <s v="P0008"/>
    <x v="2"/>
    <x v="2"/>
    <s v="Inpatient"/>
    <s v="2024-01-04"/>
    <s v="2024-03-09"/>
    <n v="65"/>
    <s v="&lt;18 weeks"/>
    <x v="1"/>
    <x v="1"/>
    <x v="0"/>
    <n v="1"/>
    <s v="2024-02"/>
  </r>
  <r>
    <s v="P0009"/>
    <x v="2"/>
    <x v="2"/>
    <s v="Outpatient"/>
    <s v="2024-02-26"/>
    <s v="2024-06-30"/>
    <n v="125"/>
    <s v="18-52 weeks"/>
    <x v="0"/>
    <x v="1"/>
    <x v="2"/>
    <n v="4"/>
    <s v="2024-01"/>
  </r>
  <r>
    <s v="P0010"/>
    <x v="0"/>
    <x v="0"/>
    <s v="Diagnostic"/>
    <s v="2024-02-06"/>
    <s v="2024-07-12"/>
    <n v="157"/>
    <s v="18-52 weeks"/>
    <x v="1"/>
    <x v="1"/>
    <x v="3"/>
    <n v="2"/>
    <s v="2024-04"/>
  </r>
  <r>
    <s v="P0011"/>
    <x v="2"/>
    <x v="2"/>
    <s v="Diagnostic"/>
    <s v="2024-01-05"/>
    <s v="2024-05-08"/>
    <n v="124"/>
    <s v="&lt;18 weeks"/>
    <x v="0"/>
    <x v="0"/>
    <x v="1"/>
    <n v="5"/>
    <s v="2024-04"/>
  </r>
  <r>
    <s v="P0012"/>
    <x v="0"/>
    <x v="0"/>
    <s v="Inpatient"/>
    <s v="2023-12-18"/>
    <s v="2024-05-15"/>
    <n v="149"/>
    <s v="&lt;18 weeks"/>
    <x v="0"/>
    <x v="0"/>
    <x v="2"/>
    <n v="3"/>
    <s v="2024-04"/>
  </r>
  <r>
    <s v="P0013"/>
    <x v="2"/>
    <x v="2"/>
    <s v="Diagnostic"/>
    <s v="2023-10-15"/>
    <s v="2023-11-21"/>
    <n v="37"/>
    <s v="&lt;18 weeks"/>
    <x v="0"/>
    <x v="0"/>
    <x v="1"/>
    <n v="5"/>
    <s v="2024-04"/>
  </r>
  <r>
    <s v="P0014"/>
    <x v="2"/>
    <x v="2"/>
    <s v="Inpatient"/>
    <s v="2023-10-12"/>
    <s v="2024-03-04"/>
    <n v="144"/>
    <s v="&lt;18 weeks"/>
    <x v="0"/>
    <x v="0"/>
    <x v="1"/>
    <n v="2"/>
    <s v="2024-03"/>
  </r>
  <r>
    <s v="P0015"/>
    <x v="0"/>
    <x v="0"/>
    <s v="Inpatient"/>
    <s v="2023-12-28"/>
    <s v="2024-01-23"/>
    <n v="26"/>
    <s v="&lt;18 weeks"/>
    <x v="0"/>
    <x v="1"/>
    <x v="2"/>
    <n v="2"/>
    <s v="2024-04"/>
  </r>
  <r>
    <s v="P0016"/>
    <x v="1"/>
    <x v="1"/>
    <s v="Inpatient"/>
    <s v="2023-12-04"/>
    <s v="2024-03-10"/>
    <n v="97"/>
    <s v="18-52 weeks"/>
    <x v="0"/>
    <x v="1"/>
    <x v="0"/>
    <n v="4"/>
    <s v="2024-03"/>
  </r>
  <r>
    <s v="P0017"/>
    <x v="1"/>
    <x v="1"/>
    <s v="Outpatient"/>
    <s v="2023-12-05"/>
    <s v="2024-02-09"/>
    <n v="66"/>
    <s v="&lt;18 weeks"/>
    <x v="2"/>
    <x v="1"/>
    <x v="0"/>
    <n v="3"/>
    <s v="2024-04"/>
  </r>
  <r>
    <s v="P0018"/>
    <x v="1"/>
    <x v="1"/>
    <s v="Inpatient"/>
    <s v="2023-12-03"/>
    <s v="2024-03-13"/>
    <n v="101"/>
    <s v="&lt;18 weeks"/>
    <x v="1"/>
    <x v="0"/>
    <x v="0"/>
    <n v="1"/>
    <s v="2024-04"/>
  </r>
  <r>
    <s v="P0019"/>
    <x v="2"/>
    <x v="2"/>
    <s v="Outpatient"/>
    <s v="2024-01-26"/>
    <s v="2024-07-01"/>
    <n v="157"/>
    <s v="&lt;18 weeks"/>
    <x v="2"/>
    <x v="0"/>
    <x v="1"/>
    <n v="3"/>
    <s v="2024-01"/>
  </r>
  <r>
    <s v="P0020"/>
    <x v="2"/>
    <x v="2"/>
    <s v="Diagnostic"/>
    <s v="2023-11-19"/>
    <s v="2024-02-08"/>
    <n v="81"/>
    <s v="18-52 weeks"/>
    <x v="1"/>
    <x v="0"/>
    <x v="0"/>
    <n v="2"/>
    <s v="2024-01"/>
  </r>
  <r>
    <s v="P0021"/>
    <x v="2"/>
    <x v="2"/>
    <s v="Inpatient"/>
    <s v="2023-12-05"/>
    <s v="2024-01-10"/>
    <n v="36"/>
    <s v="&lt;18 weeks"/>
    <x v="1"/>
    <x v="1"/>
    <x v="0"/>
    <n v="2"/>
    <s v="2024-03"/>
  </r>
  <r>
    <s v="P0022"/>
    <x v="2"/>
    <x v="2"/>
    <s v="Inpatient"/>
    <s v="2024-02-17"/>
    <s v="2024-04-10"/>
    <n v="53"/>
    <s v="&lt;18 weeks"/>
    <x v="2"/>
    <x v="0"/>
    <x v="0"/>
    <n v="1"/>
    <s v="2024-04"/>
  </r>
  <r>
    <s v="P0023"/>
    <x v="2"/>
    <x v="2"/>
    <s v="Inpatient"/>
    <s v="2024-01-28"/>
    <s v="2024-06-19"/>
    <n v="143"/>
    <s v="&lt;18 weeks"/>
    <x v="0"/>
    <x v="1"/>
    <x v="1"/>
    <n v="1"/>
    <s v="2024-03"/>
  </r>
  <r>
    <s v="P0024"/>
    <x v="1"/>
    <x v="1"/>
    <s v="Diagnostic"/>
    <s v="2023-10-15"/>
    <s v="2024-01-27"/>
    <n v="104"/>
    <s v="&lt;18 weeks"/>
    <x v="2"/>
    <x v="1"/>
    <x v="2"/>
    <n v="2"/>
    <s v="2024-01"/>
  </r>
  <r>
    <s v="P0025"/>
    <x v="1"/>
    <x v="1"/>
    <s v="Outpatient"/>
    <s v="2023-10-02"/>
    <s v="2023-11-25"/>
    <n v="54"/>
    <s v="&lt;18 weeks"/>
    <x v="2"/>
    <x v="1"/>
    <x v="3"/>
    <n v="5"/>
    <s v="2024-04"/>
  </r>
  <r>
    <s v="P0026"/>
    <x v="0"/>
    <x v="0"/>
    <s v="Outpatient"/>
    <s v="2023-11-29"/>
    <s v="2024-01-04"/>
    <n v="36"/>
    <s v="18-52 weeks"/>
    <x v="0"/>
    <x v="0"/>
    <x v="2"/>
    <n v="3"/>
    <s v="2024-04"/>
  </r>
  <r>
    <s v="P0027"/>
    <x v="0"/>
    <x v="0"/>
    <s v="Inpatient"/>
    <s v="2023-12-02"/>
    <s v="2023-12-23"/>
    <n v="21"/>
    <s v="&lt;18 weeks"/>
    <x v="0"/>
    <x v="1"/>
    <x v="2"/>
    <n v="4"/>
    <s v="2024-02"/>
  </r>
  <r>
    <s v="P0028"/>
    <x v="2"/>
    <x v="2"/>
    <s v="Outpatient"/>
    <s v="2023-10-24"/>
    <s v="2024-03-03"/>
    <n v="131"/>
    <s v="&lt;18 weeks"/>
    <x v="0"/>
    <x v="1"/>
    <x v="2"/>
    <n v="3"/>
    <s v="2024-03"/>
  </r>
  <r>
    <s v="P0029"/>
    <x v="2"/>
    <x v="2"/>
    <s v="Inpatient"/>
    <s v="2023-11-03"/>
    <s v="2024-04-09"/>
    <n v="158"/>
    <s v="&lt;18 weeks"/>
    <x v="0"/>
    <x v="0"/>
    <x v="0"/>
    <n v="5"/>
    <s v="2024-04"/>
  </r>
  <r>
    <s v="P0030"/>
    <x v="1"/>
    <x v="1"/>
    <s v="Outpatient"/>
    <s v="2023-12-19"/>
    <s v="2024-05-14"/>
    <n v="147"/>
    <s v="&lt;18 weeks"/>
    <x v="0"/>
    <x v="1"/>
    <x v="2"/>
    <n v="1"/>
    <s v="2024-03"/>
  </r>
  <r>
    <s v="P0031"/>
    <x v="2"/>
    <x v="2"/>
    <s v="Diagnostic"/>
    <s v="2023-12-23"/>
    <s v="2024-04-27"/>
    <n v="126"/>
    <s v="&lt;18 weeks"/>
    <x v="2"/>
    <x v="0"/>
    <x v="1"/>
    <n v="4"/>
    <s v="2024-01"/>
  </r>
  <r>
    <s v="P0032"/>
    <x v="0"/>
    <x v="0"/>
    <s v="Diagnostic"/>
    <s v="2023-12-23"/>
    <s v="2024-05-16"/>
    <n v="145"/>
    <s v="&lt;18 weeks"/>
    <x v="1"/>
    <x v="1"/>
    <x v="3"/>
    <n v="5"/>
    <s v="2024-04"/>
  </r>
  <r>
    <s v="P0033"/>
    <x v="2"/>
    <x v="2"/>
    <s v="Diagnostic"/>
    <s v="2023-12-23"/>
    <s v="2024-01-06"/>
    <n v="14"/>
    <s v="18-52 weeks"/>
    <x v="0"/>
    <x v="1"/>
    <x v="1"/>
    <n v="4"/>
    <s v="2024-01"/>
  </r>
  <r>
    <s v="P0034"/>
    <x v="0"/>
    <x v="0"/>
    <s v="Diagnostic"/>
    <s v="2023-10-25"/>
    <s v="2023-12-18"/>
    <n v="54"/>
    <s v="&lt;18 weeks"/>
    <x v="0"/>
    <x v="1"/>
    <x v="0"/>
    <n v="4"/>
    <s v="2024-03"/>
  </r>
  <r>
    <s v="P0035"/>
    <x v="0"/>
    <x v="0"/>
    <s v="Diagnostic"/>
    <s v="2023-12-05"/>
    <s v="2024-04-14"/>
    <n v="131"/>
    <s v="18-52 weeks"/>
    <x v="1"/>
    <x v="0"/>
    <x v="2"/>
    <n v="1"/>
    <s v="2024-01"/>
  </r>
  <r>
    <s v="P0036"/>
    <x v="1"/>
    <x v="1"/>
    <s v="Inpatient"/>
    <s v="2023-11-23"/>
    <s v="2024-01-07"/>
    <n v="45"/>
    <s v="&lt;18 weeks"/>
    <x v="1"/>
    <x v="1"/>
    <x v="1"/>
    <n v="5"/>
    <s v="2024-01"/>
  </r>
  <r>
    <s v="P0037"/>
    <x v="1"/>
    <x v="1"/>
    <s v="Outpatient"/>
    <s v="2023-11-29"/>
    <s v="2024-03-07"/>
    <n v="99"/>
    <s v="18-52 weeks"/>
    <x v="1"/>
    <x v="0"/>
    <x v="0"/>
    <n v="5"/>
    <s v="2024-04"/>
  </r>
  <r>
    <s v="P0038"/>
    <x v="2"/>
    <x v="2"/>
    <s v="Inpatient"/>
    <s v="2023-12-20"/>
    <s v="2024-05-08"/>
    <n v="140"/>
    <s v="18-52 weeks"/>
    <x v="0"/>
    <x v="1"/>
    <x v="3"/>
    <n v="4"/>
    <s v="2024-03"/>
  </r>
  <r>
    <s v="P0039"/>
    <x v="0"/>
    <x v="0"/>
    <s v="Diagnostic"/>
    <s v="2023-10-08"/>
    <s v="2024-03-01"/>
    <n v="145"/>
    <s v="18-52 weeks"/>
    <x v="1"/>
    <x v="0"/>
    <x v="1"/>
    <n v="1"/>
    <s v="2024-03"/>
  </r>
  <r>
    <s v="P0040"/>
    <x v="2"/>
    <x v="2"/>
    <s v="Outpatient"/>
    <s v="2023-11-30"/>
    <s v="2024-02-10"/>
    <n v="72"/>
    <s v="&lt;18 weeks"/>
    <x v="1"/>
    <x v="0"/>
    <x v="1"/>
    <n v="5"/>
    <s v="2024-01"/>
  </r>
  <r>
    <s v="P0041"/>
    <x v="0"/>
    <x v="0"/>
    <s v="Outpatient"/>
    <s v="2024-02-01"/>
    <s v="2024-06-11"/>
    <n v="131"/>
    <s v="&lt;18 weeks"/>
    <x v="1"/>
    <x v="0"/>
    <x v="0"/>
    <n v="2"/>
    <s v="2024-04"/>
  </r>
  <r>
    <s v="P0042"/>
    <x v="2"/>
    <x v="2"/>
    <s v="Inpatient"/>
    <s v="2023-12-09"/>
    <s v="2024-05-06"/>
    <n v="149"/>
    <s v="&lt;18 weeks"/>
    <x v="0"/>
    <x v="1"/>
    <x v="3"/>
    <n v="3"/>
    <s v="2024-01"/>
  </r>
  <r>
    <s v="P0043"/>
    <x v="2"/>
    <x v="2"/>
    <s v="Outpatient"/>
    <s v="2023-11-14"/>
    <s v="2024-03-01"/>
    <n v="108"/>
    <s v="18-52 weeks"/>
    <x v="1"/>
    <x v="0"/>
    <x v="2"/>
    <n v="5"/>
    <s v="2024-01"/>
  </r>
  <r>
    <s v="P0044"/>
    <x v="1"/>
    <x v="1"/>
    <s v="Outpatient"/>
    <s v="2023-12-30"/>
    <s v="2024-05-24"/>
    <n v="146"/>
    <s v="&lt;18 weeks"/>
    <x v="2"/>
    <x v="1"/>
    <x v="2"/>
    <n v="2"/>
    <s v="2024-02"/>
  </r>
  <r>
    <s v="P0045"/>
    <x v="0"/>
    <x v="0"/>
    <s v="Outpatient"/>
    <s v="2024-02-01"/>
    <s v="2024-03-04"/>
    <n v="32"/>
    <s v="&lt;18 weeks"/>
    <x v="1"/>
    <x v="0"/>
    <x v="3"/>
    <n v="1"/>
    <s v="2024-02"/>
  </r>
  <r>
    <s v="P0046"/>
    <x v="1"/>
    <x v="1"/>
    <s v="Outpatient"/>
    <s v="2023-10-17"/>
    <s v="2024-02-16"/>
    <n v="122"/>
    <s v="18-52 weeks"/>
    <x v="1"/>
    <x v="0"/>
    <x v="2"/>
    <n v="3"/>
    <s v="2024-03"/>
  </r>
  <r>
    <s v="P0047"/>
    <x v="0"/>
    <x v="0"/>
    <s v="Inpatient"/>
    <s v="2024-02-02"/>
    <s v="2024-05-12"/>
    <n v="100"/>
    <s v="&lt;18 weeks"/>
    <x v="2"/>
    <x v="1"/>
    <x v="2"/>
    <n v="5"/>
    <s v="2024-02"/>
  </r>
  <r>
    <s v="P0048"/>
    <x v="2"/>
    <x v="2"/>
    <s v="Diagnostic"/>
    <s v="2024-02-01"/>
    <s v="2024-05-24"/>
    <n v="113"/>
    <s v="&lt;18 weeks"/>
    <x v="2"/>
    <x v="1"/>
    <x v="0"/>
    <n v="1"/>
    <s v="2024-03"/>
  </r>
  <r>
    <s v="P0049"/>
    <x v="0"/>
    <x v="0"/>
    <s v="Outpatient"/>
    <s v="2023-11-15"/>
    <s v="2024-02-27"/>
    <n v="104"/>
    <s v="&lt;18 weeks"/>
    <x v="0"/>
    <x v="1"/>
    <x v="2"/>
    <n v="5"/>
    <s v="2024-04"/>
  </r>
  <r>
    <s v="P0050"/>
    <x v="1"/>
    <x v="1"/>
    <s v="Diagnostic"/>
    <s v="2024-02-28"/>
    <s v="2024-07-21"/>
    <n v="144"/>
    <s v="18-52 weeks"/>
    <x v="0"/>
    <x v="0"/>
    <x v="0"/>
    <n v="4"/>
    <s v="2024-04"/>
  </r>
  <r>
    <s v="P0051"/>
    <x v="2"/>
    <x v="2"/>
    <s v="Inpatient"/>
    <s v="2024-02-17"/>
    <s v="2024-06-24"/>
    <n v="128"/>
    <s v="&lt;18 weeks"/>
    <x v="0"/>
    <x v="0"/>
    <x v="2"/>
    <n v="4"/>
    <s v="2024-02"/>
  </r>
  <r>
    <s v="P0052"/>
    <x v="0"/>
    <x v="0"/>
    <s v="Diagnostic"/>
    <s v="2023-12-06"/>
    <s v="2024-01-26"/>
    <n v="51"/>
    <s v="&lt;18 weeks"/>
    <x v="0"/>
    <x v="1"/>
    <x v="3"/>
    <n v="4"/>
    <s v="2024-02"/>
  </r>
  <r>
    <s v="P0053"/>
    <x v="1"/>
    <x v="1"/>
    <s v="Inpatient"/>
    <s v="2024-01-14"/>
    <s v="2024-03-06"/>
    <n v="52"/>
    <s v="18-52 weeks"/>
    <x v="2"/>
    <x v="1"/>
    <x v="0"/>
    <n v="3"/>
    <s v="2024-02"/>
  </r>
  <r>
    <s v="P0054"/>
    <x v="1"/>
    <x v="1"/>
    <s v="Diagnostic"/>
    <s v="2023-10-30"/>
    <s v="2024-02-19"/>
    <n v="112"/>
    <s v="&lt;18 weeks"/>
    <x v="2"/>
    <x v="1"/>
    <x v="1"/>
    <n v="4"/>
    <s v="2024-01"/>
  </r>
  <r>
    <s v="P0055"/>
    <x v="1"/>
    <x v="1"/>
    <s v="Outpatient"/>
    <s v="2023-10-20"/>
    <s v="2023-12-26"/>
    <n v="67"/>
    <s v="18-52 weeks"/>
    <x v="2"/>
    <x v="0"/>
    <x v="3"/>
    <n v="4"/>
    <s v="2024-02"/>
  </r>
  <r>
    <s v="P0056"/>
    <x v="1"/>
    <x v="1"/>
    <s v="Inpatient"/>
    <s v="2023-12-17"/>
    <s v="2024-01-14"/>
    <n v="28"/>
    <s v="&lt;18 weeks"/>
    <x v="1"/>
    <x v="1"/>
    <x v="1"/>
    <n v="3"/>
    <s v="2024-03"/>
  </r>
  <r>
    <s v="P0057"/>
    <x v="2"/>
    <x v="2"/>
    <s v="Outpatient"/>
    <s v="2023-11-05"/>
    <s v="2024-03-29"/>
    <n v="145"/>
    <s v="18-52 weeks"/>
    <x v="2"/>
    <x v="0"/>
    <x v="0"/>
    <n v="2"/>
    <s v="2024-04"/>
  </r>
  <r>
    <s v="P0058"/>
    <x v="1"/>
    <x v="1"/>
    <s v="Diagnostic"/>
    <s v="2023-10-04"/>
    <s v="2024-01-12"/>
    <n v="100"/>
    <s v="&lt;18 weeks"/>
    <x v="2"/>
    <x v="1"/>
    <x v="1"/>
    <n v="4"/>
    <s v="2024-01"/>
  </r>
  <r>
    <s v="P0059"/>
    <x v="0"/>
    <x v="0"/>
    <s v="Inpatient"/>
    <s v="2023-11-18"/>
    <s v="2024-01-11"/>
    <n v="54"/>
    <s v="&lt;18 weeks"/>
    <x v="0"/>
    <x v="1"/>
    <x v="3"/>
    <n v="3"/>
    <s v="2024-03"/>
  </r>
  <r>
    <s v="P0060"/>
    <x v="2"/>
    <x v="2"/>
    <s v="Outpatient"/>
    <s v="2023-12-08"/>
    <s v="2024-03-27"/>
    <n v="110"/>
    <s v="18-52 weeks"/>
    <x v="2"/>
    <x v="0"/>
    <x v="0"/>
    <n v="3"/>
    <s v="2024-03"/>
  </r>
  <r>
    <s v="P0061"/>
    <x v="0"/>
    <x v="0"/>
    <s v="Diagnostic"/>
    <s v="2024-01-14"/>
    <s v="2024-04-28"/>
    <n v="105"/>
    <s v="&lt;18 weeks"/>
    <x v="2"/>
    <x v="0"/>
    <x v="2"/>
    <n v="1"/>
    <s v="2024-04"/>
  </r>
  <r>
    <s v="P0062"/>
    <x v="0"/>
    <x v="0"/>
    <s v="Diagnostic"/>
    <s v="2023-11-27"/>
    <s v="2024-01-20"/>
    <n v="54"/>
    <s v="18-52 weeks"/>
    <x v="1"/>
    <x v="1"/>
    <x v="3"/>
    <n v="5"/>
    <s v="2024-01"/>
  </r>
  <r>
    <s v="P0063"/>
    <x v="1"/>
    <x v="1"/>
    <s v="Outpatient"/>
    <s v="2024-01-28"/>
    <s v="2024-07-06"/>
    <n v="160"/>
    <s v="&lt;18 weeks"/>
    <x v="0"/>
    <x v="0"/>
    <x v="3"/>
    <n v="4"/>
    <s v="2024-02"/>
  </r>
  <r>
    <s v="P0064"/>
    <x v="2"/>
    <x v="2"/>
    <s v="Diagnostic"/>
    <s v="2024-02-17"/>
    <s v="2024-05-09"/>
    <n v="82"/>
    <s v="&lt;18 weeks"/>
    <x v="1"/>
    <x v="1"/>
    <x v="1"/>
    <n v="4"/>
    <s v="2024-01"/>
  </r>
  <r>
    <s v="P0065"/>
    <x v="0"/>
    <x v="0"/>
    <s v="Outpatient"/>
    <s v="2023-12-20"/>
    <s v="2024-05-13"/>
    <n v="145"/>
    <s v="&lt;18 weeks"/>
    <x v="1"/>
    <x v="1"/>
    <x v="2"/>
    <n v="2"/>
    <s v="2024-01"/>
  </r>
  <r>
    <s v="P0066"/>
    <x v="0"/>
    <x v="0"/>
    <s v="Outpatient"/>
    <s v="2023-11-29"/>
    <s v="2024-03-12"/>
    <n v="104"/>
    <s v="&lt;18 weeks"/>
    <x v="2"/>
    <x v="1"/>
    <x v="0"/>
    <n v="1"/>
    <s v="2024-04"/>
  </r>
  <r>
    <s v="P0067"/>
    <x v="2"/>
    <x v="2"/>
    <s v="Diagnostic"/>
    <s v="2023-11-01"/>
    <s v="2023-11-14"/>
    <n v="13"/>
    <s v="&lt;18 weeks"/>
    <x v="0"/>
    <x v="1"/>
    <x v="1"/>
    <n v="5"/>
    <s v="2024-04"/>
  </r>
  <r>
    <s v="P0068"/>
    <x v="1"/>
    <x v="1"/>
    <s v="Diagnostic"/>
    <s v="2023-10-13"/>
    <s v="2024-01-29"/>
    <n v="108"/>
    <s v="&lt;18 weeks"/>
    <x v="1"/>
    <x v="1"/>
    <x v="3"/>
    <n v="3"/>
    <s v="2024-04"/>
  </r>
  <r>
    <s v="P0069"/>
    <x v="2"/>
    <x v="2"/>
    <s v="Outpatient"/>
    <s v="2024-02-26"/>
    <s v="2024-05-13"/>
    <n v="77"/>
    <s v="&lt;18 weeks"/>
    <x v="1"/>
    <x v="1"/>
    <x v="1"/>
    <n v="1"/>
    <s v="2024-01"/>
  </r>
  <r>
    <s v="P0070"/>
    <x v="0"/>
    <x v="0"/>
    <s v="Inpatient"/>
    <s v="2023-11-02"/>
    <s v="2024-04-10"/>
    <n v="160"/>
    <s v="&lt;18 weeks"/>
    <x v="2"/>
    <x v="0"/>
    <x v="1"/>
    <n v="4"/>
    <s v="2024-01"/>
  </r>
  <r>
    <s v="P0071"/>
    <x v="2"/>
    <x v="2"/>
    <s v="Diagnostic"/>
    <s v="2023-12-09"/>
    <s v="2024-01-31"/>
    <n v="53"/>
    <s v="&lt;18 weeks"/>
    <x v="0"/>
    <x v="0"/>
    <x v="1"/>
    <n v="2"/>
    <s v="2024-02"/>
  </r>
  <r>
    <s v="P0072"/>
    <x v="2"/>
    <x v="2"/>
    <s v="Diagnostic"/>
    <s v="2024-02-13"/>
    <s v="2024-06-16"/>
    <n v="124"/>
    <s v="&lt;18 weeks"/>
    <x v="1"/>
    <x v="0"/>
    <x v="3"/>
    <n v="4"/>
    <s v="2024-04"/>
  </r>
  <r>
    <s v="P0073"/>
    <x v="1"/>
    <x v="1"/>
    <s v="Outpatient"/>
    <s v="2023-10-21"/>
    <s v="2023-12-02"/>
    <n v="42"/>
    <s v="&lt;18 weeks"/>
    <x v="2"/>
    <x v="1"/>
    <x v="2"/>
    <n v="5"/>
    <s v="2024-04"/>
  </r>
  <r>
    <s v="P0074"/>
    <x v="2"/>
    <x v="2"/>
    <s v="Outpatient"/>
    <s v="2023-11-01"/>
    <s v="2024-01-03"/>
    <n v="63"/>
    <s v="&lt;18 weeks"/>
    <x v="0"/>
    <x v="1"/>
    <x v="3"/>
    <n v="4"/>
    <s v="2024-03"/>
  </r>
  <r>
    <s v="P0075"/>
    <x v="2"/>
    <x v="2"/>
    <s v="Outpatient"/>
    <s v="2024-02-19"/>
    <s v="2024-05-05"/>
    <n v="76"/>
    <s v="&lt;18 weeks"/>
    <x v="1"/>
    <x v="0"/>
    <x v="1"/>
    <n v="4"/>
    <s v="2024-03"/>
  </r>
  <r>
    <s v="P0076"/>
    <x v="1"/>
    <x v="1"/>
    <s v="Outpatient"/>
    <s v="2024-01-12"/>
    <s v="2024-03-18"/>
    <n v="66"/>
    <s v="&lt;18 weeks"/>
    <x v="2"/>
    <x v="1"/>
    <x v="3"/>
    <n v="2"/>
    <s v="2024-04"/>
  </r>
  <r>
    <s v="P0077"/>
    <x v="1"/>
    <x v="1"/>
    <s v="Inpatient"/>
    <s v="2024-02-11"/>
    <s v="2024-07-16"/>
    <n v="156"/>
    <s v="18-52 weeks"/>
    <x v="0"/>
    <x v="1"/>
    <x v="3"/>
    <n v="4"/>
    <s v="2024-01"/>
  </r>
  <r>
    <s v="P0078"/>
    <x v="1"/>
    <x v="1"/>
    <s v="Diagnostic"/>
    <s v="2023-10-17"/>
    <s v="2023-11-01"/>
    <n v="15"/>
    <s v="&lt;18 weeks"/>
    <x v="1"/>
    <x v="1"/>
    <x v="1"/>
    <n v="1"/>
    <s v="2024-03"/>
  </r>
  <r>
    <s v="P0079"/>
    <x v="1"/>
    <x v="1"/>
    <s v="Diagnostic"/>
    <s v="2024-02-27"/>
    <s v="2024-06-08"/>
    <n v="102"/>
    <s v="&lt;18 weeks"/>
    <x v="0"/>
    <x v="1"/>
    <x v="2"/>
    <n v="3"/>
    <s v="2024-04"/>
  </r>
  <r>
    <s v="P0080"/>
    <x v="1"/>
    <x v="1"/>
    <s v="Diagnostic"/>
    <s v="2023-12-20"/>
    <s v="2024-02-15"/>
    <n v="57"/>
    <s v="18-52 weeks"/>
    <x v="2"/>
    <x v="0"/>
    <x v="1"/>
    <n v="2"/>
    <s v="2024-03"/>
  </r>
  <r>
    <s v="P0081"/>
    <x v="0"/>
    <x v="0"/>
    <s v="Diagnostic"/>
    <s v="2023-11-25"/>
    <s v="2024-02-16"/>
    <n v="83"/>
    <s v="&lt;18 weeks"/>
    <x v="1"/>
    <x v="0"/>
    <x v="3"/>
    <n v="1"/>
    <s v="2024-01"/>
  </r>
  <r>
    <s v="P0082"/>
    <x v="2"/>
    <x v="2"/>
    <s v="Diagnostic"/>
    <s v="2023-10-28"/>
    <s v="2023-11-17"/>
    <n v="20"/>
    <s v="&lt;18 weeks"/>
    <x v="0"/>
    <x v="1"/>
    <x v="0"/>
    <n v="2"/>
    <s v="2024-03"/>
  </r>
  <r>
    <s v="P0083"/>
    <x v="2"/>
    <x v="2"/>
    <s v="Diagnostic"/>
    <s v="2023-10-25"/>
    <s v="2023-12-04"/>
    <n v="40"/>
    <s v="&lt;18 weeks"/>
    <x v="1"/>
    <x v="0"/>
    <x v="1"/>
    <n v="3"/>
    <s v="2024-01"/>
  </r>
  <r>
    <s v="P0084"/>
    <x v="0"/>
    <x v="0"/>
    <s v="Diagnostic"/>
    <s v="2023-12-21"/>
    <s v="2024-05-05"/>
    <n v="136"/>
    <s v="&lt;18 weeks"/>
    <x v="2"/>
    <x v="0"/>
    <x v="1"/>
    <n v="5"/>
    <s v="2024-02"/>
  </r>
  <r>
    <s v="P0085"/>
    <x v="1"/>
    <x v="1"/>
    <s v="Diagnostic"/>
    <s v="2023-11-12"/>
    <s v="2024-04-11"/>
    <n v="151"/>
    <s v="18-52 weeks"/>
    <x v="0"/>
    <x v="1"/>
    <x v="2"/>
    <n v="3"/>
    <s v="2024-04"/>
  </r>
  <r>
    <s v="P0086"/>
    <x v="2"/>
    <x v="2"/>
    <s v="Diagnostic"/>
    <s v="2024-01-08"/>
    <s v="2024-01-23"/>
    <n v="15"/>
    <s v="&lt;18 weeks"/>
    <x v="1"/>
    <x v="1"/>
    <x v="1"/>
    <n v="3"/>
    <s v="2024-03"/>
  </r>
  <r>
    <s v="P0087"/>
    <x v="2"/>
    <x v="2"/>
    <s v="Diagnostic"/>
    <s v="2024-01-16"/>
    <s v="2024-04-08"/>
    <n v="83"/>
    <s v="18-52 weeks"/>
    <x v="0"/>
    <x v="1"/>
    <x v="0"/>
    <n v="3"/>
    <s v="2024-03"/>
  </r>
  <r>
    <s v="P0088"/>
    <x v="2"/>
    <x v="2"/>
    <s v="Diagnostic"/>
    <s v="2024-02-16"/>
    <s v="2024-02-25"/>
    <n v="9"/>
    <s v="&lt;18 weeks"/>
    <x v="2"/>
    <x v="1"/>
    <x v="0"/>
    <n v="5"/>
    <s v="2024-02"/>
  </r>
  <r>
    <s v="P0089"/>
    <x v="2"/>
    <x v="2"/>
    <s v="Inpatient"/>
    <s v="2024-02-28"/>
    <s v="2024-05-31"/>
    <n v="93"/>
    <s v="&lt;18 weeks"/>
    <x v="2"/>
    <x v="1"/>
    <x v="0"/>
    <n v="2"/>
    <s v="2024-04"/>
  </r>
  <r>
    <s v="P0090"/>
    <x v="2"/>
    <x v="2"/>
    <s v="Inpatient"/>
    <s v="2023-12-24"/>
    <s v="2024-05-29"/>
    <n v="157"/>
    <s v="&lt;18 weeks"/>
    <x v="0"/>
    <x v="1"/>
    <x v="1"/>
    <n v="4"/>
    <s v="2024-04"/>
  </r>
  <r>
    <s v="P0091"/>
    <x v="2"/>
    <x v="2"/>
    <s v="Diagnostic"/>
    <s v="2023-11-06"/>
    <s v="2024-02-14"/>
    <n v="100"/>
    <s v="18-52 weeks"/>
    <x v="0"/>
    <x v="1"/>
    <x v="3"/>
    <n v="4"/>
    <s v="2024-03"/>
  </r>
  <r>
    <s v="P0092"/>
    <x v="1"/>
    <x v="1"/>
    <s v="Inpatient"/>
    <s v="2024-01-10"/>
    <s v="2024-04-06"/>
    <n v="87"/>
    <s v="18-52 weeks"/>
    <x v="0"/>
    <x v="1"/>
    <x v="0"/>
    <n v="4"/>
    <s v="2024-01"/>
  </r>
  <r>
    <s v="P0093"/>
    <x v="0"/>
    <x v="0"/>
    <s v="Diagnostic"/>
    <s v="2023-12-28"/>
    <s v="2024-05-31"/>
    <n v="155"/>
    <s v="&lt;18 weeks"/>
    <x v="1"/>
    <x v="1"/>
    <x v="3"/>
    <n v="4"/>
    <s v="2024-04"/>
  </r>
  <r>
    <s v="P0094"/>
    <x v="2"/>
    <x v="2"/>
    <s v="Outpatient"/>
    <s v="2024-02-26"/>
    <s v="2024-07-17"/>
    <n v="142"/>
    <s v="&lt;18 weeks"/>
    <x v="1"/>
    <x v="0"/>
    <x v="0"/>
    <n v="5"/>
    <s v="2024-03"/>
  </r>
  <r>
    <s v="P0095"/>
    <x v="1"/>
    <x v="1"/>
    <s v="Diagnostic"/>
    <s v="2023-11-06"/>
    <s v="2023-11-30"/>
    <n v="24"/>
    <s v="&lt;18 weeks"/>
    <x v="1"/>
    <x v="0"/>
    <x v="3"/>
    <n v="1"/>
    <s v="2024-04"/>
  </r>
  <r>
    <s v="P0096"/>
    <x v="0"/>
    <x v="0"/>
    <s v="Outpatient"/>
    <s v="2023-11-28"/>
    <s v="2023-12-06"/>
    <n v="8"/>
    <s v="18-52 weeks"/>
    <x v="0"/>
    <x v="1"/>
    <x v="2"/>
    <n v="2"/>
    <s v="2024-04"/>
  </r>
  <r>
    <s v="P0097"/>
    <x v="2"/>
    <x v="2"/>
    <s v="Inpatient"/>
    <s v="2023-12-03"/>
    <s v="2024-05-04"/>
    <n v="153"/>
    <s v="&lt;18 weeks"/>
    <x v="2"/>
    <x v="0"/>
    <x v="1"/>
    <n v="3"/>
    <s v="2024-03"/>
  </r>
  <r>
    <s v="P0098"/>
    <x v="1"/>
    <x v="1"/>
    <s v="Outpatient"/>
    <s v="2023-10-16"/>
    <s v="2024-01-02"/>
    <n v="78"/>
    <s v="&lt;18 weeks"/>
    <x v="2"/>
    <x v="0"/>
    <x v="1"/>
    <n v="3"/>
    <s v="2024-02"/>
  </r>
  <r>
    <s v="P0099"/>
    <x v="1"/>
    <x v="1"/>
    <s v="Inpatient"/>
    <s v="2023-11-26"/>
    <s v="2024-04-08"/>
    <n v="134"/>
    <s v="&lt;18 weeks"/>
    <x v="0"/>
    <x v="0"/>
    <x v="0"/>
    <n v="4"/>
    <s v="2024-03"/>
  </r>
  <r>
    <s v="P0100"/>
    <x v="0"/>
    <x v="0"/>
    <s v="Inpatient"/>
    <s v="2023-11-01"/>
    <s v="2024-02-06"/>
    <n v="97"/>
    <s v="18-52 weeks"/>
    <x v="0"/>
    <x v="1"/>
    <x v="3"/>
    <n v="5"/>
    <s v="2024-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4AECA-ECE1-417E-8BEF-78EF41814522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4" firstHeaderRow="1" firstDataRow="1" firstDataCol="1" rowPageCount="1" colPageCount="1"/>
  <pivotFields count="13">
    <pivotField showAll="0"/>
    <pivotField showAll="0">
      <items count="4">
        <item x="2"/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axis="axisPage" showAll="0">
      <items count="5">
        <item x="0"/>
        <item x="3"/>
        <item x="1"/>
        <item x="2"/>
        <item t="default"/>
      </items>
    </pivotField>
    <pivotField showAll="0"/>
    <pivotField showAll="0"/>
  </pivotFields>
  <rowFields count="3">
    <field x="2"/>
    <field x="8"/>
    <field x="9"/>
  </rowFields>
  <rowItems count="31">
    <i>
      <x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/>
    </i>
    <i r="2">
      <x v="1"/>
    </i>
    <i r="1">
      <x v="1"/>
    </i>
    <i r="2">
      <x/>
    </i>
    <i r="2">
      <x v="1"/>
    </i>
    <i r="1">
      <x v="2"/>
    </i>
    <i r="2">
      <x/>
    </i>
    <i r="2">
      <x v="1"/>
    </i>
    <i t="grand">
      <x/>
    </i>
  </rowItems>
  <colItems count="1">
    <i/>
  </colItems>
  <pageFields count="1">
    <pageField fld="10" hier="-1"/>
  </pageFields>
  <dataFields count="1">
    <dataField name="Average of wait_days" fld="6" subtotal="average" baseField="9" baseItem="1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03"/>
  <sheetViews>
    <sheetView workbookViewId="0">
      <selection activeCell="D63" sqref="D63"/>
    </sheetView>
  </sheetViews>
  <sheetFormatPr defaultRowHeight="14.5" x14ac:dyDescent="0.35"/>
  <cols>
    <col min="1" max="1" width="9.54296875" customWidth="1"/>
    <col min="2" max="2" width="11.90625" customWidth="1"/>
    <col min="3" max="3" width="11.26953125" customWidth="1"/>
    <col min="4" max="4" width="13.90625" customWidth="1"/>
    <col min="8" max="8" width="13.81640625" customWidth="1"/>
    <col min="12" max="12" width="18.08984375" customWidth="1"/>
    <col min="13" max="13" width="11.08984375" customWidth="1"/>
    <col min="17" max="17" width="38.453125" customWidth="1"/>
  </cols>
  <sheetData>
    <row r="1" spans="1:13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133</v>
      </c>
      <c r="H2" s="2" t="s">
        <v>27</v>
      </c>
      <c r="I2" t="s">
        <v>20</v>
      </c>
      <c r="J2" t="s">
        <v>21</v>
      </c>
      <c r="K2" t="s">
        <v>22</v>
      </c>
      <c r="L2">
        <v>1</v>
      </c>
      <c r="M2" t="s">
        <v>23</v>
      </c>
    </row>
    <row r="3" spans="1:13" x14ac:dyDescent="0.35">
      <c r="A3" t="s">
        <v>24</v>
      </c>
      <c r="B3" t="s">
        <v>14</v>
      </c>
      <c r="C3" t="s">
        <v>15</v>
      </c>
      <c r="D3" t="s">
        <v>16</v>
      </c>
      <c r="E3" t="s">
        <v>25</v>
      </c>
      <c r="F3" t="s">
        <v>26</v>
      </c>
      <c r="G3">
        <v>66</v>
      </c>
      <c r="H3" s="2" t="s">
        <v>27</v>
      </c>
      <c r="I3" t="s">
        <v>28</v>
      </c>
      <c r="J3" t="s">
        <v>29</v>
      </c>
      <c r="K3" t="s">
        <v>22</v>
      </c>
      <c r="L3">
        <v>2</v>
      </c>
      <c r="M3" t="s">
        <v>30</v>
      </c>
    </row>
    <row r="4" spans="1:13" x14ac:dyDescent="0.35">
      <c r="A4" t="s">
        <v>31</v>
      </c>
      <c r="B4" t="s">
        <v>14</v>
      </c>
      <c r="C4" t="s">
        <v>15</v>
      </c>
      <c r="D4" t="s">
        <v>32</v>
      </c>
      <c r="E4" t="s">
        <v>33</v>
      </c>
      <c r="F4" t="s">
        <v>34</v>
      </c>
      <c r="G4">
        <v>72</v>
      </c>
      <c r="H4" s="2" t="s">
        <v>27</v>
      </c>
      <c r="I4" t="s">
        <v>20</v>
      </c>
      <c r="J4" t="s">
        <v>21</v>
      </c>
      <c r="K4" t="s">
        <v>22</v>
      </c>
      <c r="L4">
        <v>5</v>
      </c>
      <c r="M4" t="s">
        <v>23</v>
      </c>
    </row>
    <row r="5" spans="1:13" hidden="1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>
        <v>156</v>
      </c>
      <c r="H5" s="2" t="s">
        <v>19</v>
      </c>
      <c r="I5" t="s">
        <v>28</v>
      </c>
      <c r="J5" t="s">
        <v>21</v>
      </c>
      <c r="K5" t="s">
        <v>41</v>
      </c>
      <c r="L5">
        <v>2</v>
      </c>
      <c r="M5" t="s">
        <v>42</v>
      </c>
    </row>
    <row r="6" spans="1:13" x14ac:dyDescent="0.35">
      <c r="A6" t="s">
        <v>43</v>
      </c>
      <c r="B6" t="s">
        <v>14</v>
      </c>
      <c r="C6" t="s">
        <v>15</v>
      </c>
      <c r="D6" t="s">
        <v>38</v>
      </c>
      <c r="E6" t="s">
        <v>44</v>
      </c>
      <c r="F6" t="s">
        <v>45</v>
      </c>
      <c r="G6">
        <v>73</v>
      </c>
      <c r="H6" s="2" t="s">
        <v>19</v>
      </c>
      <c r="I6" t="s">
        <v>20</v>
      </c>
      <c r="J6" t="s">
        <v>29</v>
      </c>
      <c r="K6" t="s">
        <v>46</v>
      </c>
      <c r="L6">
        <v>2</v>
      </c>
      <c r="M6" t="s">
        <v>23</v>
      </c>
    </row>
    <row r="7" spans="1:13" hidden="1" x14ac:dyDescent="0.35">
      <c r="A7" t="s">
        <v>47</v>
      </c>
      <c r="B7" t="s">
        <v>48</v>
      </c>
      <c r="C7" t="s">
        <v>49</v>
      </c>
      <c r="D7" t="s">
        <v>32</v>
      </c>
      <c r="E7" t="s">
        <v>50</v>
      </c>
      <c r="F7" t="s">
        <v>51</v>
      </c>
      <c r="G7">
        <v>74</v>
      </c>
      <c r="H7" s="2" t="s">
        <v>27</v>
      </c>
      <c r="I7" t="s">
        <v>28</v>
      </c>
      <c r="J7" t="s">
        <v>29</v>
      </c>
      <c r="K7" t="s">
        <v>41</v>
      </c>
      <c r="L7">
        <v>2</v>
      </c>
      <c r="M7" t="s">
        <v>52</v>
      </c>
    </row>
    <row r="8" spans="1:13" hidden="1" x14ac:dyDescent="0.35">
      <c r="A8" t="s">
        <v>53</v>
      </c>
      <c r="B8" t="s">
        <v>36</v>
      </c>
      <c r="C8" t="s">
        <v>37</v>
      </c>
      <c r="D8" t="s">
        <v>38</v>
      </c>
      <c r="E8" t="s">
        <v>54</v>
      </c>
      <c r="F8" t="s">
        <v>55</v>
      </c>
      <c r="G8">
        <v>73</v>
      </c>
      <c r="H8" s="2" t="s">
        <v>19</v>
      </c>
      <c r="I8" t="s">
        <v>20</v>
      </c>
      <c r="J8" t="s">
        <v>21</v>
      </c>
      <c r="K8" t="s">
        <v>22</v>
      </c>
      <c r="L8">
        <v>2</v>
      </c>
      <c r="M8" t="s">
        <v>42</v>
      </c>
    </row>
    <row r="9" spans="1:13" hidden="1" x14ac:dyDescent="0.35">
      <c r="A9" t="s">
        <v>56</v>
      </c>
      <c r="B9" t="s">
        <v>48</v>
      </c>
      <c r="C9" t="s">
        <v>49</v>
      </c>
      <c r="D9" t="s">
        <v>38</v>
      </c>
      <c r="E9" t="s">
        <v>57</v>
      </c>
      <c r="F9" t="s">
        <v>58</v>
      </c>
      <c r="G9">
        <v>65</v>
      </c>
      <c r="H9" s="2" t="s">
        <v>27</v>
      </c>
      <c r="I9" t="s">
        <v>28</v>
      </c>
      <c r="J9" t="s">
        <v>29</v>
      </c>
      <c r="K9" t="s">
        <v>22</v>
      </c>
      <c r="L9">
        <v>1</v>
      </c>
      <c r="M9" t="s">
        <v>30</v>
      </c>
    </row>
    <row r="10" spans="1:13" hidden="1" x14ac:dyDescent="0.35">
      <c r="A10" t="s">
        <v>59</v>
      </c>
      <c r="B10" t="s">
        <v>48</v>
      </c>
      <c r="C10" t="s">
        <v>49</v>
      </c>
      <c r="D10" t="s">
        <v>16</v>
      </c>
      <c r="E10" t="s">
        <v>60</v>
      </c>
      <c r="F10" t="s">
        <v>61</v>
      </c>
      <c r="G10">
        <v>125</v>
      </c>
      <c r="H10" s="2" t="s">
        <v>19</v>
      </c>
      <c r="I10" t="s">
        <v>20</v>
      </c>
      <c r="J10" t="s">
        <v>29</v>
      </c>
      <c r="K10" t="s">
        <v>46</v>
      </c>
      <c r="L10">
        <v>4</v>
      </c>
      <c r="M10" t="s">
        <v>52</v>
      </c>
    </row>
    <row r="11" spans="1:13" x14ac:dyDescent="0.35">
      <c r="A11" t="s">
        <v>62</v>
      </c>
      <c r="B11" t="s">
        <v>14</v>
      </c>
      <c r="C11" t="s">
        <v>15</v>
      </c>
      <c r="D11" t="s">
        <v>32</v>
      </c>
      <c r="E11" t="s">
        <v>63</v>
      </c>
      <c r="F11" t="s">
        <v>64</v>
      </c>
      <c r="G11">
        <v>157</v>
      </c>
      <c r="H11" s="2" t="s">
        <v>19</v>
      </c>
      <c r="I11" t="s">
        <v>28</v>
      </c>
      <c r="J11" t="s">
        <v>29</v>
      </c>
      <c r="K11" t="s">
        <v>65</v>
      </c>
      <c r="L11">
        <v>2</v>
      </c>
      <c r="M11" t="s">
        <v>42</v>
      </c>
    </row>
    <row r="12" spans="1:13" hidden="1" x14ac:dyDescent="0.35">
      <c r="A12" t="s">
        <v>66</v>
      </c>
      <c r="B12" t="s">
        <v>48</v>
      </c>
      <c r="C12" t="s">
        <v>49</v>
      </c>
      <c r="D12" t="s">
        <v>32</v>
      </c>
      <c r="E12" t="s">
        <v>67</v>
      </c>
      <c r="F12" t="s">
        <v>68</v>
      </c>
      <c r="G12">
        <v>124</v>
      </c>
      <c r="H12" s="2" t="s">
        <v>27</v>
      </c>
      <c r="I12" t="s">
        <v>20</v>
      </c>
      <c r="J12" t="s">
        <v>21</v>
      </c>
      <c r="K12" t="s">
        <v>41</v>
      </c>
      <c r="L12">
        <v>5</v>
      </c>
      <c r="M12" t="s">
        <v>42</v>
      </c>
    </row>
    <row r="13" spans="1:13" x14ac:dyDescent="0.35">
      <c r="A13" t="s">
        <v>69</v>
      </c>
      <c r="B13" t="s">
        <v>14</v>
      </c>
      <c r="C13" t="s">
        <v>15</v>
      </c>
      <c r="D13" t="s">
        <v>38</v>
      </c>
      <c r="E13" t="s">
        <v>70</v>
      </c>
      <c r="F13" t="s">
        <v>71</v>
      </c>
      <c r="G13">
        <v>149</v>
      </c>
      <c r="H13" s="2" t="s">
        <v>27</v>
      </c>
      <c r="I13" t="s">
        <v>20</v>
      </c>
      <c r="J13" t="s">
        <v>21</v>
      </c>
      <c r="K13" t="s">
        <v>46</v>
      </c>
      <c r="L13">
        <v>3</v>
      </c>
      <c r="M13" t="s">
        <v>42</v>
      </c>
    </row>
    <row r="14" spans="1:13" hidden="1" x14ac:dyDescent="0.35">
      <c r="A14" t="s">
        <v>72</v>
      </c>
      <c r="B14" t="s">
        <v>48</v>
      </c>
      <c r="C14" t="s">
        <v>49</v>
      </c>
      <c r="D14" t="s">
        <v>32</v>
      </c>
      <c r="E14" t="s">
        <v>73</v>
      </c>
      <c r="F14" t="s">
        <v>74</v>
      </c>
      <c r="G14">
        <v>37</v>
      </c>
      <c r="H14" s="2" t="s">
        <v>27</v>
      </c>
      <c r="I14" t="s">
        <v>20</v>
      </c>
      <c r="J14" t="s">
        <v>21</v>
      </c>
      <c r="K14" t="s">
        <v>41</v>
      </c>
      <c r="L14">
        <v>5</v>
      </c>
      <c r="M14" t="s">
        <v>42</v>
      </c>
    </row>
    <row r="15" spans="1:13" hidden="1" x14ac:dyDescent="0.35">
      <c r="A15" t="s">
        <v>75</v>
      </c>
      <c r="B15" t="s">
        <v>48</v>
      </c>
      <c r="C15" t="s">
        <v>49</v>
      </c>
      <c r="D15" t="s">
        <v>38</v>
      </c>
      <c r="E15" t="s">
        <v>76</v>
      </c>
      <c r="F15" t="s">
        <v>77</v>
      </c>
      <c r="G15">
        <v>144</v>
      </c>
      <c r="H15" s="2" t="s">
        <v>27</v>
      </c>
      <c r="I15" t="s">
        <v>20</v>
      </c>
      <c r="J15" t="s">
        <v>21</v>
      </c>
      <c r="K15" t="s">
        <v>41</v>
      </c>
      <c r="L15">
        <v>2</v>
      </c>
      <c r="M15" t="s">
        <v>23</v>
      </c>
    </row>
    <row r="16" spans="1:13" x14ac:dyDescent="0.35">
      <c r="A16" t="s">
        <v>78</v>
      </c>
      <c r="B16" t="s">
        <v>14</v>
      </c>
      <c r="C16" t="s">
        <v>15</v>
      </c>
      <c r="D16" t="s">
        <v>38</v>
      </c>
      <c r="E16" t="s">
        <v>55</v>
      </c>
      <c r="F16" t="s">
        <v>79</v>
      </c>
      <c r="G16">
        <v>26</v>
      </c>
      <c r="H16" s="2" t="s">
        <v>27</v>
      </c>
      <c r="I16" t="s">
        <v>20</v>
      </c>
      <c r="J16" t="s">
        <v>29</v>
      </c>
      <c r="K16" t="s">
        <v>46</v>
      </c>
      <c r="L16">
        <v>2</v>
      </c>
      <c r="M16" t="s">
        <v>42</v>
      </c>
    </row>
    <row r="17" spans="1:13" hidden="1" x14ac:dyDescent="0.35">
      <c r="A17" t="s">
        <v>80</v>
      </c>
      <c r="B17" t="s">
        <v>36</v>
      </c>
      <c r="C17" t="s">
        <v>37</v>
      </c>
      <c r="D17" t="s">
        <v>38</v>
      </c>
      <c r="E17" t="s">
        <v>81</v>
      </c>
      <c r="F17" t="s">
        <v>82</v>
      </c>
      <c r="G17">
        <v>97</v>
      </c>
      <c r="H17" s="2" t="s">
        <v>19</v>
      </c>
      <c r="I17" t="s">
        <v>20</v>
      </c>
      <c r="J17" t="s">
        <v>29</v>
      </c>
      <c r="K17" t="s">
        <v>22</v>
      </c>
      <c r="L17">
        <v>4</v>
      </c>
      <c r="M17" t="s">
        <v>23</v>
      </c>
    </row>
    <row r="18" spans="1:13" hidden="1" x14ac:dyDescent="0.35">
      <c r="A18" t="s">
        <v>83</v>
      </c>
      <c r="B18" t="s">
        <v>36</v>
      </c>
      <c r="C18" t="s">
        <v>37</v>
      </c>
      <c r="D18" t="s">
        <v>16</v>
      </c>
      <c r="E18" t="s">
        <v>84</v>
      </c>
      <c r="F18" t="s">
        <v>17</v>
      </c>
      <c r="G18">
        <v>66</v>
      </c>
      <c r="H18" s="2" t="s">
        <v>27</v>
      </c>
      <c r="I18" t="s">
        <v>85</v>
      </c>
      <c r="J18" t="s">
        <v>29</v>
      </c>
      <c r="K18" t="s">
        <v>22</v>
      </c>
      <c r="L18">
        <v>3</v>
      </c>
      <c r="M18" t="s">
        <v>42</v>
      </c>
    </row>
    <row r="19" spans="1:13" hidden="1" x14ac:dyDescent="0.35">
      <c r="A19" t="s">
        <v>86</v>
      </c>
      <c r="B19" t="s">
        <v>36</v>
      </c>
      <c r="C19" t="s">
        <v>37</v>
      </c>
      <c r="D19" t="s">
        <v>38</v>
      </c>
      <c r="E19" t="s">
        <v>87</v>
      </c>
      <c r="F19" t="s">
        <v>88</v>
      </c>
      <c r="G19">
        <v>101</v>
      </c>
      <c r="H19" s="2" t="s">
        <v>27</v>
      </c>
      <c r="I19" t="s">
        <v>28</v>
      </c>
      <c r="J19" t="s">
        <v>21</v>
      </c>
      <c r="K19" t="s">
        <v>22</v>
      </c>
      <c r="L19">
        <v>1</v>
      </c>
      <c r="M19" t="s">
        <v>42</v>
      </c>
    </row>
    <row r="20" spans="1:13" hidden="1" x14ac:dyDescent="0.35">
      <c r="A20" t="s">
        <v>89</v>
      </c>
      <c r="B20" t="s">
        <v>48</v>
      </c>
      <c r="C20" t="s">
        <v>49</v>
      </c>
      <c r="D20" t="s">
        <v>16</v>
      </c>
      <c r="E20" t="s">
        <v>90</v>
      </c>
      <c r="F20" t="s">
        <v>91</v>
      </c>
      <c r="G20">
        <v>157</v>
      </c>
      <c r="H20" s="2" t="s">
        <v>27</v>
      </c>
      <c r="I20" t="s">
        <v>85</v>
      </c>
      <c r="J20" t="s">
        <v>21</v>
      </c>
      <c r="K20" t="s">
        <v>41</v>
      </c>
      <c r="L20">
        <v>3</v>
      </c>
      <c r="M20" t="s">
        <v>52</v>
      </c>
    </row>
    <row r="21" spans="1:13" hidden="1" x14ac:dyDescent="0.35">
      <c r="A21" t="s">
        <v>92</v>
      </c>
      <c r="B21" t="s">
        <v>48</v>
      </c>
      <c r="C21" t="s">
        <v>49</v>
      </c>
      <c r="D21" t="s">
        <v>32</v>
      </c>
      <c r="E21" t="s">
        <v>93</v>
      </c>
      <c r="F21" t="s">
        <v>94</v>
      </c>
      <c r="G21">
        <v>81</v>
      </c>
      <c r="H21" s="2" t="s">
        <v>19</v>
      </c>
      <c r="I21" t="s">
        <v>28</v>
      </c>
      <c r="J21" t="s">
        <v>21</v>
      </c>
      <c r="K21" t="s">
        <v>22</v>
      </c>
      <c r="L21">
        <v>2</v>
      </c>
      <c r="M21" t="s">
        <v>52</v>
      </c>
    </row>
    <row r="22" spans="1:13" hidden="1" x14ac:dyDescent="0.35">
      <c r="A22" t="s">
        <v>95</v>
      </c>
      <c r="B22" t="s">
        <v>48</v>
      </c>
      <c r="C22" t="s">
        <v>49</v>
      </c>
      <c r="D22" t="s">
        <v>38</v>
      </c>
      <c r="E22" t="s">
        <v>84</v>
      </c>
      <c r="F22" t="s">
        <v>96</v>
      </c>
      <c r="G22">
        <v>36</v>
      </c>
      <c r="H22" s="2" t="s">
        <v>27</v>
      </c>
      <c r="I22" t="s">
        <v>28</v>
      </c>
      <c r="J22" t="s">
        <v>29</v>
      </c>
      <c r="K22" t="s">
        <v>22</v>
      </c>
      <c r="L22">
        <v>2</v>
      </c>
      <c r="M22" t="s">
        <v>23</v>
      </c>
    </row>
    <row r="23" spans="1:13" hidden="1" x14ac:dyDescent="0.35">
      <c r="A23" t="s">
        <v>97</v>
      </c>
      <c r="B23" t="s">
        <v>48</v>
      </c>
      <c r="C23" t="s">
        <v>49</v>
      </c>
      <c r="D23" t="s">
        <v>38</v>
      </c>
      <c r="E23" t="s">
        <v>98</v>
      </c>
      <c r="F23" t="s">
        <v>40</v>
      </c>
      <c r="G23">
        <v>53</v>
      </c>
      <c r="H23" s="2" t="s">
        <v>27</v>
      </c>
      <c r="I23" t="s">
        <v>85</v>
      </c>
      <c r="J23" t="s">
        <v>21</v>
      </c>
      <c r="K23" t="s">
        <v>22</v>
      </c>
      <c r="L23">
        <v>1</v>
      </c>
      <c r="M23" t="s">
        <v>42</v>
      </c>
    </row>
    <row r="24" spans="1:13" hidden="1" x14ac:dyDescent="0.35">
      <c r="A24" t="s">
        <v>99</v>
      </c>
      <c r="B24" t="s">
        <v>48</v>
      </c>
      <c r="C24" t="s">
        <v>49</v>
      </c>
      <c r="D24" t="s">
        <v>38</v>
      </c>
      <c r="E24" t="s">
        <v>100</v>
      </c>
      <c r="F24" t="s">
        <v>101</v>
      </c>
      <c r="G24">
        <v>143</v>
      </c>
      <c r="H24" s="2" t="s">
        <v>27</v>
      </c>
      <c r="I24" t="s">
        <v>20</v>
      </c>
      <c r="J24" t="s">
        <v>29</v>
      </c>
      <c r="K24" t="s">
        <v>41</v>
      </c>
      <c r="L24">
        <v>1</v>
      </c>
      <c r="M24" t="s">
        <v>23</v>
      </c>
    </row>
    <row r="25" spans="1:13" hidden="1" x14ac:dyDescent="0.35">
      <c r="A25" t="s">
        <v>102</v>
      </c>
      <c r="B25" t="s">
        <v>36</v>
      </c>
      <c r="C25" t="s">
        <v>37</v>
      </c>
      <c r="D25" t="s">
        <v>32</v>
      </c>
      <c r="E25" t="s">
        <v>73</v>
      </c>
      <c r="F25" t="s">
        <v>103</v>
      </c>
      <c r="G25">
        <v>104</v>
      </c>
      <c r="H25" s="2" t="s">
        <v>27</v>
      </c>
      <c r="I25" t="s">
        <v>85</v>
      </c>
      <c r="J25" t="s">
        <v>29</v>
      </c>
      <c r="K25" t="s">
        <v>46</v>
      </c>
      <c r="L25">
        <v>2</v>
      </c>
      <c r="M25" t="s">
        <v>52</v>
      </c>
    </row>
    <row r="26" spans="1:13" hidden="1" x14ac:dyDescent="0.35">
      <c r="A26" t="s">
        <v>104</v>
      </c>
      <c r="B26" t="s">
        <v>36</v>
      </c>
      <c r="C26" t="s">
        <v>37</v>
      </c>
      <c r="D26" t="s">
        <v>16</v>
      </c>
      <c r="E26" t="s">
        <v>105</v>
      </c>
      <c r="F26" t="s">
        <v>106</v>
      </c>
      <c r="G26">
        <v>54</v>
      </c>
      <c r="H26" s="2" t="s">
        <v>27</v>
      </c>
      <c r="I26" t="s">
        <v>85</v>
      </c>
      <c r="J26" t="s">
        <v>29</v>
      </c>
      <c r="K26" t="s">
        <v>65</v>
      </c>
      <c r="L26">
        <v>5</v>
      </c>
      <c r="M26" t="s">
        <v>42</v>
      </c>
    </row>
    <row r="27" spans="1:13" x14ac:dyDescent="0.35">
      <c r="A27" t="s">
        <v>107</v>
      </c>
      <c r="B27" t="s">
        <v>14</v>
      </c>
      <c r="C27" t="s">
        <v>15</v>
      </c>
      <c r="D27" t="s">
        <v>16</v>
      </c>
      <c r="E27" t="s">
        <v>108</v>
      </c>
      <c r="F27" t="s">
        <v>57</v>
      </c>
      <c r="G27">
        <v>36</v>
      </c>
      <c r="H27" s="2" t="s">
        <v>19</v>
      </c>
      <c r="I27" t="s">
        <v>20</v>
      </c>
      <c r="J27" t="s">
        <v>21</v>
      </c>
      <c r="K27" t="s">
        <v>46</v>
      </c>
      <c r="L27">
        <v>3</v>
      </c>
      <c r="M27" t="s">
        <v>42</v>
      </c>
    </row>
    <row r="28" spans="1:13" x14ac:dyDescent="0.35">
      <c r="A28" t="s">
        <v>109</v>
      </c>
      <c r="B28" t="s">
        <v>14</v>
      </c>
      <c r="C28" t="s">
        <v>15</v>
      </c>
      <c r="D28" t="s">
        <v>38</v>
      </c>
      <c r="E28" t="s">
        <v>110</v>
      </c>
      <c r="F28" t="s">
        <v>111</v>
      </c>
      <c r="G28">
        <v>21</v>
      </c>
      <c r="H28" s="2" t="s">
        <v>27</v>
      </c>
      <c r="I28" t="s">
        <v>20</v>
      </c>
      <c r="J28" t="s">
        <v>29</v>
      </c>
      <c r="K28" t="s">
        <v>46</v>
      </c>
      <c r="L28">
        <v>4</v>
      </c>
      <c r="M28" t="s">
        <v>30</v>
      </c>
    </row>
    <row r="29" spans="1:13" hidden="1" x14ac:dyDescent="0.35">
      <c r="A29" t="s">
        <v>112</v>
      </c>
      <c r="B29" t="s">
        <v>48</v>
      </c>
      <c r="C29" t="s">
        <v>49</v>
      </c>
      <c r="D29" t="s">
        <v>16</v>
      </c>
      <c r="E29" t="s">
        <v>113</v>
      </c>
      <c r="F29" t="s">
        <v>114</v>
      </c>
      <c r="G29">
        <v>131</v>
      </c>
      <c r="H29" s="2" t="s">
        <v>27</v>
      </c>
      <c r="I29" t="s">
        <v>20</v>
      </c>
      <c r="J29" t="s">
        <v>29</v>
      </c>
      <c r="K29" t="s">
        <v>46</v>
      </c>
      <c r="L29">
        <v>3</v>
      </c>
      <c r="M29" t="s">
        <v>23</v>
      </c>
    </row>
    <row r="30" spans="1:13" hidden="1" x14ac:dyDescent="0.35">
      <c r="A30" t="s">
        <v>115</v>
      </c>
      <c r="B30" t="s">
        <v>48</v>
      </c>
      <c r="C30" t="s">
        <v>49</v>
      </c>
      <c r="D30" t="s">
        <v>38</v>
      </c>
      <c r="E30" t="s">
        <v>116</v>
      </c>
      <c r="F30" t="s">
        <v>117</v>
      </c>
      <c r="G30">
        <v>158</v>
      </c>
      <c r="H30" s="2" t="s">
        <v>27</v>
      </c>
      <c r="I30" t="s">
        <v>20</v>
      </c>
      <c r="J30" t="s">
        <v>21</v>
      </c>
      <c r="K30" t="s">
        <v>22</v>
      </c>
      <c r="L30">
        <v>5</v>
      </c>
      <c r="M30" t="s">
        <v>42</v>
      </c>
    </row>
    <row r="31" spans="1:13" hidden="1" x14ac:dyDescent="0.35">
      <c r="A31" t="s">
        <v>118</v>
      </c>
      <c r="B31" t="s">
        <v>36</v>
      </c>
      <c r="C31" t="s">
        <v>37</v>
      </c>
      <c r="D31" t="s">
        <v>16</v>
      </c>
      <c r="E31" t="s">
        <v>119</v>
      </c>
      <c r="F31" t="s">
        <v>120</v>
      </c>
      <c r="G31">
        <v>147</v>
      </c>
      <c r="H31" s="2" t="s">
        <v>27</v>
      </c>
      <c r="I31" t="s">
        <v>20</v>
      </c>
      <c r="J31" t="s">
        <v>29</v>
      </c>
      <c r="K31" t="s">
        <v>46</v>
      </c>
      <c r="L31">
        <v>1</v>
      </c>
      <c r="M31" t="s">
        <v>23</v>
      </c>
    </row>
    <row r="32" spans="1:13" hidden="1" x14ac:dyDescent="0.35">
      <c r="A32" t="s">
        <v>121</v>
      </c>
      <c r="B32" t="s">
        <v>48</v>
      </c>
      <c r="C32" t="s">
        <v>49</v>
      </c>
      <c r="D32" t="s">
        <v>32</v>
      </c>
      <c r="E32" t="s">
        <v>111</v>
      </c>
      <c r="F32" t="s">
        <v>122</v>
      </c>
      <c r="G32">
        <v>126</v>
      </c>
      <c r="H32" s="2" t="s">
        <v>27</v>
      </c>
      <c r="I32" t="s">
        <v>85</v>
      </c>
      <c r="J32" t="s">
        <v>21</v>
      </c>
      <c r="K32" t="s">
        <v>41</v>
      </c>
      <c r="L32">
        <v>4</v>
      </c>
      <c r="M32" t="s">
        <v>52</v>
      </c>
    </row>
    <row r="33" spans="1:13" x14ac:dyDescent="0.35">
      <c r="A33" t="s">
        <v>123</v>
      </c>
      <c r="B33" t="s">
        <v>14</v>
      </c>
      <c r="C33" t="s">
        <v>15</v>
      </c>
      <c r="D33" t="s">
        <v>32</v>
      </c>
      <c r="E33" t="s">
        <v>111</v>
      </c>
      <c r="F33" t="s">
        <v>124</v>
      </c>
      <c r="G33">
        <v>145</v>
      </c>
      <c r="H33" s="2" t="s">
        <v>27</v>
      </c>
      <c r="I33" t="s">
        <v>28</v>
      </c>
      <c r="J33" t="s">
        <v>29</v>
      </c>
      <c r="K33" t="s">
        <v>65</v>
      </c>
      <c r="L33">
        <v>5</v>
      </c>
      <c r="M33" t="s">
        <v>42</v>
      </c>
    </row>
    <row r="34" spans="1:13" hidden="1" x14ac:dyDescent="0.35">
      <c r="A34" t="s">
        <v>125</v>
      </c>
      <c r="B34" t="s">
        <v>48</v>
      </c>
      <c r="C34" t="s">
        <v>49</v>
      </c>
      <c r="D34" t="s">
        <v>32</v>
      </c>
      <c r="E34" t="s">
        <v>111</v>
      </c>
      <c r="F34" t="s">
        <v>34</v>
      </c>
      <c r="G34">
        <v>14</v>
      </c>
      <c r="H34" s="2" t="s">
        <v>19</v>
      </c>
      <c r="I34" t="s">
        <v>20</v>
      </c>
      <c r="J34" t="s">
        <v>29</v>
      </c>
      <c r="K34" t="s">
        <v>41</v>
      </c>
      <c r="L34">
        <v>4</v>
      </c>
      <c r="M34" t="s">
        <v>52</v>
      </c>
    </row>
    <row r="35" spans="1:13" x14ac:dyDescent="0.35">
      <c r="A35" t="s">
        <v>126</v>
      </c>
      <c r="B35" t="s">
        <v>14</v>
      </c>
      <c r="C35" t="s">
        <v>15</v>
      </c>
      <c r="D35" t="s">
        <v>32</v>
      </c>
      <c r="E35" t="s">
        <v>127</v>
      </c>
      <c r="F35" t="s">
        <v>70</v>
      </c>
      <c r="G35">
        <v>54</v>
      </c>
      <c r="H35" s="2" t="s">
        <v>27</v>
      </c>
      <c r="I35" t="s">
        <v>20</v>
      </c>
      <c r="J35" t="s">
        <v>29</v>
      </c>
      <c r="K35" t="s">
        <v>22</v>
      </c>
      <c r="L35">
        <v>4</v>
      </c>
      <c r="M35" t="s">
        <v>23</v>
      </c>
    </row>
    <row r="36" spans="1:13" x14ac:dyDescent="0.35">
      <c r="A36" t="s">
        <v>128</v>
      </c>
      <c r="B36" t="s">
        <v>14</v>
      </c>
      <c r="C36" t="s">
        <v>15</v>
      </c>
      <c r="D36" t="s">
        <v>32</v>
      </c>
      <c r="E36" t="s">
        <v>84</v>
      </c>
      <c r="F36" t="s">
        <v>129</v>
      </c>
      <c r="G36">
        <v>131</v>
      </c>
      <c r="H36" s="2" t="s">
        <v>19</v>
      </c>
      <c r="I36" t="s">
        <v>28</v>
      </c>
      <c r="J36" t="s">
        <v>21</v>
      </c>
      <c r="K36" t="s">
        <v>46</v>
      </c>
      <c r="L36">
        <v>1</v>
      </c>
      <c r="M36" t="s">
        <v>52</v>
      </c>
    </row>
    <row r="37" spans="1:13" hidden="1" x14ac:dyDescent="0.35">
      <c r="A37" t="s">
        <v>130</v>
      </c>
      <c r="B37" t="s">
        <v>36</v>
      </c>
      <c r="C37" t="s">
        <v>37</v>
      </c>
      <c r="D37" t="s">
        <v>38</v>
      </c>
      <c r="E37" t="s">
        <v>131</v>
      </c>
      <c r="F37" t="s">
        <v>132</v>
      </c>
      <c r="G37">
        <v>45</v>
      </c>
      <c r="H37" s="2" t="s">
        <v>27</v>
      </c>
      <c r="I37" t="s">
        <v>28</v>
      </c>
      <c r="J37" t="s">
        <v>29</v>
      </c>
      <c r="K37" t="s">
        <v>41</v>
      </c>
      <c r="L37">
        <v>5</v>
      </c>
      <c r="M37" t="s">
        <v>52</v>
      </c>
    </row>
    <row r="38" spans="1:13" hidden="1" x14ac:dyDescent="0.35">
      <c r="A38" t="s">
        <v>133</v>
      </c>
      <c r="B38" t="s">
        <v>36</v>
      </c>
      <c r="C38" t="s">
        <v>37</v>
      </c>
      <c r="D38" t="s">
        <v>16</v>
      </c>
      <c r="E38" t="s">
        <v>108</v>
      </c>
      <c r="F38" t="s">
        <v>134</v>
      </c>
      <c r="G38">
        <v>99</v>
      </c>
      <c r="H38" s="2" t="s">
        <v>19</v>
      </c>
      <c r="I38" t="s">
        <v>28</v>
      </c>
      <c r="J38" t="s">
        <v>21</v>
      </c>
      <c r="K38" t="s">
        <v>22</v>
      </c>
      <c r="L38">
        <v>5</v>
      </c>
      <c r="M38" t="s">
        <v>42</v>
      </c>
    </row>
    <row r="39" spans="1:13" hidden="1" x14ac:dyDescent="0.35">
      <c r="A39" t="s">
        <v>135</v>
      </c>
      <c r="B39" t="s">
        <v>48</v>
      </c>
      <c r="C39" t="s">
        <v>49</v>
      </c>
      <c r="D39" t="s">
        <v>38</v>
      </c>
      <c r="E39" t="s">
        <v>25</v>
      </c>
      <c r="F39" t="s">
        <v>68</v>
      </c>
      <c r="G39">
        <v>140</v>
      </c>
      <c r="H39" s="2" t="s">
        <v>19</v>
      </c>
      <c r="I39" t="s">
        <v>20</v>
      </c>
      <c r="J39" t="s">
        <v>29</v>
      </c>
      <c r="K39" t="s">
        <v>65</v>
      </c>
      <c r="L39">
        <v>4</v>
      </c>
      <c r="M39" t="s">
        <v>23</v>
      </c>
    </row>
    <row r="40" spans="1:13" x14ac:dyDescent="0.35">
      <c r="A40" t="s">
        <v>136</v>
      </c>
      <c r="B40" t="s">
        <v>14</v>
      </c>
      <c r="C40" t="s">
        <v>15</v>
      </c>
      <c r="D40" t="s">
        <v>32</v>
      </c>
      <c r="E40" t="s">
        <v>137</v>
      </c>
      <c r="F40" t="s">
        <v>138</v>
      </c>
      <c r="G40">
        <v>145</v>
      </c>
      <c r="H40" s="2" t="s">
        <v>19</v>
      </c>
      <c r="I40" t="s">
        <v>28</v>
      </c>
      <c r="J40" t="s">
        <v>21</v>
      </c>
      <c r="K40" t="s">
        <v>41</v>
      </c>
      <c r="L40">
        <v>1</v>
      </c>
      <c r="M40" t="s">
        <v>23</v>
      </c>
    </row>
    <row r="41" spans="1:13" hidden="1" x14ac:dyDescent="0.35">
      <c r="A41" t="s">
        <v>139</v>
      </c>
      <c r="B41" t="s">
        <v>48</v>
      </c>
      <c r="C41" t="s">
        <v>49</v>
      </c>
      <c r="D41" t="s">
        <v>16</v>
      </c>
      <c r="E41" t="s">
        <v>140</v>
      </c>
      <c r="F41" t="s">
        <v>141</v>
      </c>
      <c r="G41">
        <v>72</v>
      </c>
      <c r="H41" s="2" t="s">
        <v>27</v>
      </c>
      <c r="I41" t="s">
        <v>28</v>
      </c>
      <c r="J41" t="s">
        <v>21</v>
      </c>
      <c r="K41" t="s">
        <v>41</v>
      </c>
      <c r="L41">
        <v>5</v>
      </c>
      <c r="M41" t="s">
        <v>52</v>
      </c>
    </row>
    <row r="42" spans="1:13" x14ac:dyDescent="0.35">
      <c r="A42" t="s">
        <v>142</v>
      </c>
      <c r="B42" t="s">
        <v>14</v>
      </c>
      <c r="C42" t="s">
        <v>15</v>
      </c>
      <c r="D42" t="s">
        <v>16</v>
      </c>
      <c r="E42" t="s">
        <v>143</v>
      </c>
      <c r="F42" t="s">
        <v>144</v>
      </c>
      <c r="G42">
        <v>131</v>
      </c>
      <c r="H42" s="2" t="s">
        <v>27</v>
      </c>
      <c r="I42" t="s">
        <v>28</v>
      </c>
      <c r="J42" t="s">
        <v>21</v>
      </c>
      <c r="K42" t="s">
        <v>22</v>
      </c>
      <c r="L42">
        <v>2</v>
      </c>
      <c r="M42" t="s">
        <v>42</v>
      </c>
    </row>
    <row r="43" spans="1:13" hidden="1" x14ac:dyDescent="0.35">
      <c r="A43" t="s">
        <v>145</v>
      </c>
      <c r="B43" t="s">
        <v>48</v>
      </c>
      <c r="C43" t="s">
        <v>49</v>
      </c>
      <c r="D43" t="s">
        <v>38</v>
      </c>
      <c r="E43" t="s">
        <v>146</v>
      </c>
      <c r="F43" t="s">
        <v>147</v>
      </c>
      <c r="G43">
        <v>149</v>
      </c>
      <c r="H43" s="2" t="s">
        <v>27</v>
      </c>
      <c r="I43" t="s">
        <v>20</v>
      </c>
      <c r="J43" t="s">
        <v>29</v>
      </c>
      <c r="K43" t="s">
        <v>65</v>
      </c>
      <c r="L43">
        <v>3</v>
      </c>
      <c r="M43" t="s">
        <v>52</v>
      </c>
    </row>
    <row r="44" spans="1:13" hidden="1" x14ac:dyDescent="0.35">
      <c r="A44" t="s">
        <v>148</v>
      </c>
      <c r="B44" t="s">
        <v>48</v>
      </c>
      <c r="C44" t="s">
        <v>49</v>
      </c>
      <c r="D44" t="s">
        <v>16</v>
      </c>
      <c r="E44" t="s">
        <v>149</v>
      </c>
      <c r="F44" t="s">
        <v>138</v>
      </c>
      <c r="G44">
        <v>108</v>
      </c>
      <c r="H44" s="2" t="s">
        <v>19</v>
      </c>
      <c r="I44" t="s">
        <v>28</v>
      </c>
      <c r="J44" t="s">
        <v>21</v>
      </c>
      <c r="K44" t="s">
        <v>46</v>
      </c>
      <c r="L44">
        <v>5</v>
      </c>
      <c r="M44" t="s">
        <v>52</v>
      </c>
    </row>
    <row r="45" spans="1:13" hidden="1" x14ac:dyDescent="0.35">
      <c r="A45" t="s">
        <v>150</v>
      </c>
      <c r="B45" t="s">
        <v>36</v>
      </c>
      <c r="C45" t="s">
        <v>37</v>
      </c>
      <c r="D45" t="s">
        <v>16</v>
      </c>
      <c r="E45" t="s">
        <v>151</v>
      </c>
      <c r="F45" t="s">
        <v>152</v>
      </c>
      <c r="G45">
        <v>146</v>
      </c>
      <c r="H45" s="2" t="s">
        <v>27</v>
      </c>
      <c r="I45" t="s">
        <v>85</v>
      </c>
      <c r="J45" t="s">
        <v>29</v>
      </c>
      <c r="K45" t="s">
        <v>46</v>
      </c>
      <c r="L45">
        <v>2</v>
      </c>
      <c r="M45" t="s">
        <v>30</v>
      </c>
    </row>
    <row r="46" spans="1:13" x14ac:dyDescent="0.35">
      <c r="A46" t="s">
        <v>153</v>
      </c>
      <c r="B46" t="s">
        <v>14</v>
      </c>
      <c r="C46" t="s">
        <v>15</v>
      </c>
      <c r="D46" t="s">
        <v>16</v>
      </c>
      <c r="E46" t="s">
        <v>143</v>
      </c>
      <c r="F46" t="s">
        <v>77</v>
      </c>
      <c r="G46">
        <v>32</v>
      </c>
      <c r="H46" s="2" t="s">
        <v>27</v>
      </c>
      <c r="I46" t="s">
        <v>28</v>
      </c>
      <c r="J46" t="s">
        <v>21</v>
      </c>
      <c r="K46" t="s">
        <v>65</v>
      </c>
      <c r="L46">
        <v>1</v>
      </c>
      <c r="M46" t="s">
        <v>30</v>
      </c>
    </row>
    <row r="47" spans="1:13" hidden="1" x14ac:dyDescent="0.35">
      <c r="A47" t="s">
        <v>154</v>
      </c>
      <c r="B47" t="s">
        <v>36</v>
      </c>
      <c r="C47" t="s">
        <v>37</v>
      </c>
      <c r="D47" t="s">
        <v>16</v>
      </c>
      <c r="E47" t="s">
        <v>155</v>
      </c>
      <c r="F47" t="s">
        <v>156</v>
      </c>
      <c r="G47">
        <v>122</v>
      </c>
      <c r="H47" s="2" t="s">
        <v>19</v>
      </c>
      <c r="I47" t="s">
        <v>28</v>
      </c>
      <c r="J47" t="s">
        <v>21</v>
      </c>
      <c r="K47" t="s">
        <v>46</v>
      </c>
      <c r="L47">
        <v>3</v>
      </c>
      <c r="M47" t="s">
        <v>23</v>
      </c>
    </row>
    <row r="48" spans="1:13" x14ac:dyDescent="0.35">
      <c r="A48" t="s">
        <v>157</v>
      </c>
      <c r="B48" t="s">
        <v>14</v>
      </c>
      <c r="C48" t="s">
        <v>15</v>
      </c>
      <c r="D48" t="s">
        <v>38</v>
      </c>
      <c r="E48" t="s">
        <v>158</v>
      </c>
      <c r="F48" t="s">
        <v>51</v>
      </c>
      <c r="G48">
        <v>100</v>
      </c>
      <c r="H48" s="2" t="s">
        <v>27</v>
      </c>
      <c r="I48" t="s">
        <v>85</v>
      </c>
      <c r="J48" t="s">
        <v>29</v>
      </c>
      <c r="K48" t="s">
        <v>46</v>
      </c>
      <c r="L48">
        <v>5</v>
      </c>
      <c r="M48" t="s">
        <v>30</v>
      </c>
    </row>
    <row r="49" spans="1:13" hidden="1" x14ac:dyDescent="0.35">
      <c r="A49" t="s">
        <v>159</v>
      </c>
      <c r="B49" t="s">
        <v>48</v>
      </c>
      <c r="C49" t="s">
        <v>49</v>
      </c>
      <c r="D49" t="s">
        <v>32</v>
      </c>
      <c r="E49" t="s">
        <v>143</v>
      </c>
      <c r="F49" t="s">
        <v>152</v>
      </c>
      <c r="G49">
        <v>113</v>
      </c>
      <c r="H49" s="2" t="s">
        <v>27</v>
      </c>
      <c r="I49" t="s">
        <v>85</v>
      </c>
      <c r="J49" t="s">
        <v>29</v>
      </c>
      <c r="K49" t="s">
        <v>22</v>
      </c>
      <c r="L49">
        <v>1</v>
      </c>
      <c r="M49" t="s">
        <v>23</v>
      </c>
    </row>
    <row r="50" spans="1:13" x14ac:dyDescent="0.35">
      <c r="A50" t="s">
        <v>160</v>
      </c>
      <c r="B50" t="s">
        <v>14</v>
      </c>
      <c r="C50" t="s">
        <v>15</v>
      </c>
      <c r="D50" t="s">
        <v>16</v>
      </c>
      <c r="E50" t="s">
        <v>161</v>
      </c>
      <c r="F50" t="s">
        <v>162</v>
      </c>
      <c r="G50">
        <v>104</v>
      </c>
      <c r="H50" s="2" t="s">
        <v>27</v>
      </c>
      <c r="I50" t="s">
        <v>20</v>
      </c>
      <c r="J50" t="s">
        <v>29</v>
      </c>
      <c r="K50" t="s">
        <v>46</v>
      </c>
      <c r="L50">
        <v>5</v>
      </c>
      <c r="M50" t="s">
        <v>42</v>
      </c>
    </row>
    <row r="51" spans="1:13" hidden="1" x14ac:dyDescent="0.35">
      <c r="A51" t="s">
        <v>163</v>
      </c>
      <c r="B51" t="s">
        <v>36</v>
      </c>
      <c r="C51" t="s">
        <v>37</v>
      </c>
      <c r="D51" t="s">
        <v>32</v>
      </c>
      <c r="E51" t="s">
        <v>50</v>
      </c>
      <c r="F51" t="s">
        <v>164</v>
      </c>
      <c r="G51">
        <v>144</v>
      </c>
      <c r="H51" s="2" t="s">
        <v>19</v>
      </c>
      <c r="I51" t="s">
        <v>20</v>
      </c>
      <c r="J51" t="s">
        <v>21</v>
      </c>
      <c r="K51" t="s">
        <v>22</v>
      </c>
      <c r="L51">
        <v>4</v>
      </c>
      <c r="M51" t="s">
        <v>42</v>
      </c>
    </row>
    <row r="52" spans="1:13" hidden="1" x14ac:dyDescent="0.35">
      <c r="A52" t="s">
        <v>165</v>
      </c>
      <c r="B52" t="s">
        <v>48</v>
      </c>
      <c r="C52" t="s">
        <v>49</v>
      </c>
      <c r="D52" t="s">
        <v>38</v>
      </c>
      <c r="E52" t="s">
        <v>98</v>
      </c>
      <c r="F52" t="s">
        <v>166</v>
      </c>
      <c r="G52">
        <v>128</v>
      </c>
      <c r="H52" s="2" t="s">
        <v>27</v>
      </c>
      <c r="I52" t="s">
        <v>20</v>
      </c>
      <c r="J52" t="s">
        <v>21</v>
      </c>
      <c r="K52" t="s">
        <v>46</v>
      </c>
      <c r="L52">
        <v>4</v>
      </c>
      <c r="M52" t="s">
        <v>30</v>
      </c>
    </row>
    <row r="53" spans="1:13" x14ac:dyDescent="0.35">
      <c r="A53" t="s">
        <v>167</v>
      </c>
      <c r="B53" t="s">
        <v>14</v>
      </c>
      <c r="C53" t="s">
        <v>15</v>
      </c>
      <c r="D53" t="s">
        <v>32</v>
      </c>
      <c r="E53" t="s">
        <v>168</v>
      </c>
      <c r="F53" t="s">
        <v>90</v>
      </c>
      <c r="G53">
        <v>51</v>
      </c>
      <c r="H53" s="2" t="s">
        <v>27</v>
      </c>
      <c r="I53" t="s">
        <v>20</v>
      </c>
      <c r="J53" t="s">
        <v>29</v>
      </c>
      <c r="K53" t="s">
        <v>65</v>
      </c>
      <c r="L53">
        <v>4</v>
      </c>
      <c r="M53" t="s">
        <v>30</v>
      </c>
    </row>
    <row r="54" spans="1:13" hidden="1" x14ac:dyDescent="0.35">
      <c r="A54" t="s">
        <v>169</v>
      </c>
      <c r="B54" t="s">
        <v>36</v>
      </c>
      <c r="C54" t="s">
        <v>37</v>
      </c>
      <c r="D54" t="s">
        <v>38</v>
      </c>
      <c r="E54" t="s">
        <v>170</v>
      </c>
      <c r="F54" t="s">
        <v>171</v>
      </c>
      <c r="G54">
        <v>52</v>
      </c>
      <c r="H54" s="2" t="s">
        <v>19</v>
      </c>
      <c r="I54" t="s">
        <v>85</v>
      </c>
      <c r="J54" t="s">
        <v>29</v>
      </c>
      <c r="K54" t="s">
        <v>22</v>
      </c>
      <c r="L54">
        <v>3</v>
      </c>
      <c r="M54" t="s">
        <v>30</v>
      </c>
    </row>
    <row r="55" spans="1:13" hidden="1" x14ac:dyDescent="0.35">
      <c r="A55" t="s">
        <v>172</v>
      </c>
      <c r="B55" t="s">
        <v>36</v>
      </c>
      <c r="C55" t="s">
        <v>37</v>
      </c>
      <c r="D55" t="s">
        <v>32</v>
      </c>
      <c r="E55" t="s">
        <v>173</v>
      </c>
      <c r="F55" t="s">
        <v>174</v>
      </c>
      <c r="G55">
        <v>112</v>
      </c>
      <c r="H55" s="2" t="s">
        <v>27</v>
      </c>
      <c r="I55" t="s">
        <v>85</v>
      </c>
      <c r="J55" t="s">
        <v>29</v>
      </c>
      <c r="K55" t="s">
        <v>41</v>
      </c>
      <c r="L55">
        <v>4</v>
      </c>
      <c r="M55" t="s">
        <v>52</v>
      </c>
    </row>
    <row r="56" spans="1:13" hidden="1" x14ac:dyDescent="0.35">
      <c r="A56" t="s">
        <v>175</v>
      </c>
      <c r="B56" t="s">
        <v>36</v>
      </c>
      <c r="C56" t="s">
        <v>37</v>
      </c>
      <c r="D56" t="s">
        <v>16</v>
      </c>
      <c r="E56" t="s">
        <v>176</v>
      </c>
      <c r="F56" t="s">
        <v>177</v>
      </c>
      <c r="G56">
        <v>67</v>
      </c>
      <c r="H56" s="2" t="s">
        <v>19</v>
      </c>
      <c r="I56" t="s">
        <v>85</v>
      </c>
      <c r="J56" t="s">
        <v>21</v>
      </c>
      <c r="K56" t="s">
        <v>65</v>
      </c>
      <c r="L56">
        <v>4</v>
      </c>
      <c r="M56" t="s">
        <v>30</v>
      </c>
    </row>
    <row r="57" spans="1:13" hidden="1" x14ac:dyDescent="0.35">
      <c r="A57" t="s">
        <v>178</v>
      </c>
      <c r="B57" t="s">
        <v>36</v>
      </c>
      <c r="C57" t="s">
        <v>37</v>
      </c>
      <c r="D57" t="s">
        <v>38</v>
      </c>
      <c r="E57" t="s">
        <v>45</v>
      </c>
      <c r="F57" t="s">
        <v>170</v>
      </c>
      <c r="G57">
        <v>28</v>
      </c>
      <c r="H57" s="2" t="s">
        <v>27</v>
      </c>
      <c r="I57" t="s">
        <v>28</v>
      </c>
      <c r="J57" t="s">
        <v>29</v>
      </c>
      <c r="K57" t="s">
        <v>41</v>
      </c>
      <c r="L57">
        <v>3</v>
      </c>
      <c r="M57" t="s">
        <v>23</v>
      </c>
    </row>
    <row r="58" spans="1:13" hidden="1" x14ac:dyDescent="0.35">
      <c r="A58" t="s">
        <v>179</v>
      </c>
      <c r="B58" t="s">
        <v>48</v>
      </c>
      <c r="C58" t="s">
        <v>49</v>
      </c>
      <c r="D58" t="s">
        <v>16</v>
      </c>
      <c r="E58" t="s">
        <v>180</v>
      </c>
      <c r="F58" t="s">
        <v>181</v>
      </c>
      <c r="G58">
        <v>145</v>
      </c>
      <c r="H58" s="2" t="s">
        <v>19</v>
      </c>
      <c r="I58" t="s">
        <v>85</v>
      </c>
      <c r="J58" t="s">
        <v>21</v>
      </c>
      <c r="K58" t="s">
        <v>22</v>
      </c>
      <c r="L58">
        <v>2</v>
      </c>
      <c r="M58" t="s">
        <v>42</v>
      </c>
    </row>
    <row r="59" spans="1:13" hidden="1" x14ac:dyDescent="0.35">
      <c r="A59" t="s">
        <v>182</v>
      </c>
      <c r="B59" t="s">
        <v>36</v>
      </c>
      <c r="C59" t="s">
        <v>37</v>
      </c>
      <c r="D59" t="s">
        <v>32</v>
      </c>
      <c r="E59" t="s">
        <v>183</v>
      </c>
      <c r="F59" t="s">
        <v>184</v>
      </c>
      <c r="G59">
        <v>100</v>
      </c>
      <c r="H59" s="2" t="s">
        <v>27</v>
      </c>
      <c r="I59" t="s">
        <v>85</v>
      </c>
      <c r="J59" t="s">
        <v>29</v>
      </c>
      <c r="K59" t="s">
        <v>41</v>
      </c>
      <c r="L59">
        <v>4</v>
      </c>
      <c r="M59" t="s">
        <v>52</v>
      </c>
    </row>
    <row r="60" spans="1:13" x14ac:dyDescent="0.35">
      <c r="A60" t="s">
        <v>185</v>
      </c>
      <c r="B60" t="s">
        <v>14</v>
      </c>
      <c r="C60" t="s">
        <v>15</v>
      </c>
      <c r="D60" t="s">
        <v>38</v>
      </c>
      <c r="E60" t="s">
        <v>186</v>
      </c>
      <c r="F60" t="s">
        <v>187</v>
      </c>
      <c r="G60">
        <v>54</v>
      </c>
      <c r="H60" s="2" t="s">
        <v>27</v>
      </c>
      <c r="I60" t="s">
        <v>20</v>
      </c>
      <c r="J60" t="s">
        <v>29</v>
      </c>
      <c r="K60" t="s">
        <v>65</v>
      </c>
      <c r="L60">
        <v>3</v>
      </c>
      <c r="M60" t="s">
        <v>23</v>
      </c>
    </row>
    <row r="61" spans="1:13" hidden="1" x14ac:dyDescent="0.35">
      <c r="A61" t="s">
        <v>188</v>
      </c>
      <c r="B61" t="s">
        <v>48</v>
      </c>
      <c r="C61" t="s">
        <v>49</v>
      </c>
      <c r="D61" t="s">
        <v>16</v>
      </c>
      <c r="E61" t="s">
        <v>189</v>
      </c>
      <c r="F61" t="s">
        <v>190</v>
      </c>
      <c r="G61">
        <v>110</v>
      </c>
      <c r="H61" s="2" t="s">
        <v>19</v>
      </c>
      <c r="I61" t="s">
        <v>85</v>
      </c>
      <c r="J61" t="s">
        <v>21</v>
      </c>
      <c r="K61" t="s">
        <v>22</v>
      </c>
      <c r="L61">
        <v>3</v>
      </c>
      <c r="M61" t="s">
        <v>23</v>
      </c>
    </row>
    <row r="62" spans="1:13" x14ac:dyDescent="0.35">
      <c r="A62" t="s">
        <v>191</v>
      </c>
      <c r="B62" t="s">
        <v>14</v>
      </c>
      <c r="C62" t="s">
        <v>15</v>
      </c>
      <c r="D62" t="s">
        <v>32</v>
      </c>
      <c r="E62" t="s">
        <v>170</v>
      </c>
      <c r="F62" t="s">
        <v>192</v>
      </c>
      <c r="G62">
        <v>105</v>
      </c>
      <c r="H62" s="2" t="s">
        <v>27</v>
      </c>
      <c r="I62" t="s">
        <v>85</v>
      </c>
      <c r="J62" t="s">
        <v>21</v>
      </c>
      <c r="K62" t="s">
        <v>46</v>
      </c>
      <c r="L62">
        <v>1</v>
      </c>
      <c r="M62" t="s">
        <v>42</v>
      </c>
    </row>
    <row r="63" spans="1:13" x14ac:dyDescent="0.35">
      <c r="A63" t="s">
        <v>193</v>
      </c>
      <c r="B63" t="s">
        <v>14</v>
      </c>
      <c r="C63" t="s">
        <v>15</v>
      </c>
      <c r="D63" t="s">
        <v>32</v>
      </c>
      <c r="E63" t="s">
        <v>194</v>
      </c>
      <c r="F63" t="s">
        <v>195</v>
      </c>
      <c r="G63">
        <v>54</v>
      </c>
      <c r="H63" s="2" t="s">
        <v>19</v>
      </c>
      <c r="I63" t="s">
        <v>28</v>
      </c>
      <c r="J63" t="s">
        <v>29</v>
      </c>
      <c r="K63" t="s">
        <v>65</v>
      </c>
      <c r="L63">
        <v>5</v>
      </c>
      <c r="M63" t="s">
        <v>52</v>
      </c>
    </row>
    <row r="64" spans="1:13" hidden="1" x14ac:dyDescent="0.35">
      <c r="A64" t="s">
        <v>196</v>
      </c>
      <c r="B64" t="s">
        <v>36</v>
      </c>
      <c r="C64" t="s">
        <v>37</v>
      </c>
      <c r="D64" t="s">
        <v>16</v>
      </c>
      <c r="E64" t="s">
        <v>100</v>
      </c>
      <c r="F64" t="s">
        <v>197</v>
      </c>
      <c r="G64">
        <v>160</v>
      </c>
      <c r="H64" s="2" t="s">
        <v>27</v>
      </c>
      <c r="I64" t="s">
        <v>20</v>
      </c>
      <c r="J64" t="s">
        <v>21</v>
      </c>
      <c r="K64" t="s">
        <v>65</v>
      </c>
      <c r="L64">
        <v>4</v>
      </c>
      <c r="M64" t="s">
        <v>30</v>
      </c>
    </row>
    <row r="65" spans="1:13" hidden="1" x14ac:dyDescent="0.35">
      <c r="A65" t="s">
        <v>198</v>
      </c>
      <c r="B65" t="s">
        <v>48</v>
      </c>
      <c r="C65" t="s">
        <v>49</v>
      </c>
      <c r="D65" t="s">
        <v>32</v>
      </c>
      <c r="E65" t="s">
        <v>98</v>
      </c>
      <c r="F65" t="s">
        <v>199</v>
      </c>
      <c r="G65">
        <v>82</v>
      </c>
      <c r="H65" s="2" t="s">
        <v>27</v>
      </c>
      <c r="I65" t="s">
        <v>28</v>
      </c>
      <c r="J65" t="s">
        <v>29</v>
      </c>
      <c r="K65" t="s">
        <v>41</v>
      </c>
      <c r="L65">
        <v>4</v>
      </c>
      <c r="M65" t="s">
        <v>52</v>
      </c>
    </row>
    <row r="66" spans="1:13" x14ac:dyDescent="0.35">
      <c r="A66" t="s">
        <v>200</v>
      </c>
      <c r="B66" t="s">
        <v>14</v>
      </c>
      <c r="C66" t="s">
        <v>15</v>
      </c>
      <c r="D66" t="s">
        <v>16</v>
      </c>
      <c r="E66" t="s">
        <v>25</v>
      </c>
      <c r="F66" t="s">
        <v>201</v>
      </c>
      <c r="G66">
        <v>145</v>
      </c>
      <c r="H66" s="2" t="s">
        <v>27</v>
      </c>
      <c r="I66" t="s">
        <v>28</v>
      </c>
      <c r="J66" t="s">
        <v>29</v>
      </c>
      <c r="K66" t="s">
        <v>46</v>
      </c>
      <c r="L66">
        <v>2</v>
      </c>
      <c r="M66" t="s">
        <v>52</v>
      </c>
    </row>
    <row r="67" spans="1:13" x14ac:dyDescent="0.35">
      <c r="A67" t="s">
        <v>202</v>
      </c>
      <c r="B67" t="s">
        <v>14</v>
      </c>
      <c r="C67" t="s">
        <v>15</v>
      </c>
      <c r="D67" t="s">
        <v>16</v>
      </c>
      <c r="E67" t="s">
        <v>108</v>
      </c>
      <c r="F67" t="s">
        <v>203</v>
      </c>
      <c r="G67">
        <v>104</v>
      </c>
      <c r="H67" s="2" t="s">
        <v>27</v>
      </c>
      <c r="I67" t="s">
        <v>85</v>
      </c>
      <c r="J67" t="s">
        <v>29</v>
      </c>
      <c r="K67" t="s">
        <v>22</v>
      </c>
      <c r="L67">
        <v>1</v>
      </c>
      <c r="M67" t="s">
        <v>42</v>
      </c>
    </row>
    <row r="68" spans="1:13" hidden="1" x14ac:dyDescent="0.35">
      <c r="A68" t="s">
        <v>204</v>
      </c>
      <c r="B68" t="s">
        <v>48</v>
      </c>
      <c r="C68" t="s">
        <v>49</v>
      </c>
      <c r="D68" t="s">
        <v>32</v>
      </c>
      <c r="E68" t="s">
        <v>205</v>
      </c>
      <c r="F68" t="s">
        <v>149</v>
      </c>
      <c r="G68">
        <v>13</v>
      </c>
      <c r="H68" s="2" t="s">
        <v>27</v>
      </c>
      <c r="I68" t="s">
        <v>20</v>
      </c>
      <c r="J68" t="s">
        <v>29</v>
      </c>
      <c r="K68" t="s">
        <v>41</v>
      </c>
      <c r="L68">
        <v>5</v>
      </c>
      <c r="M68" t="s">
        <v>42</v>
      </c>
    </row>
    <row r="69" spans="1:13" hidden="1" x14ac:dyDescent="0.35">
      <c r="A69" t="s">
        <v>206</v>
      </c>
      <c r="B69" t="s">
        <v>36</v>
      </c>
      <c r="C69" t="s">
        <v>37</v>
      </c>
      <c r="D69" t="s">
        <v>32</v>
      </c>
      <c r="E69" t="s">
        <v>207</v>
      </c>
      <c r="F69" t="s">
        <v>208</v>
      </c>
      <c r="G69">
        <v>108</v>
      </c>
      <c r="H69" s="2" t="s">
        <v>27</v>
      </c>
      <c r="I69" t="s">
        <v>28</v>
      </c>
      <c r="J69" t="s">
        <v>29</v>
      </c>
      <c r="K69" t="s">
        <v>65</v>
      </c>
      <c r="L69">
        <v>3</v>
      </c>
      <c r="M69" t="s">
        <v>42</v>
      </c>
    </row>
    <row r="70" spans="1:13" hidden="1" x14ac:dyDescent="0.35">
      <c r="A70" t="s">
        <v>209</v>
      </c>
      <c r="B70" t="s">
        <v>48</v>
      </c>
      <c r="C70" t="s">
        <v>49</v>
      </c>
      <c r="D70" t="s">
        <v>16</v>
      </c>
      <c r="E70" t="s">
        <v>60</v>
      </c>
      <c r="F70" t="s">
        <v>201</v>
      </c>
      <c r="G70">
        <v>77</v>
      </c>
      <c r="H70" s="2" t="s">
        <v>27</v>
      </c>
      <c r="I70" t="s">
        <v>28</v>
      </c>
      <c r="J70" t="s">
        <v>29</v>
      </c>
      <c r="K70" t="s">
        <v>41</v>
      </c>
      <c r="L70">
        <v>1</v>
      </c>
      <c r="M70" t="s">
        <v>52</v>
      </c>
    </row>
    <row r="71" spans="1:13" x14ac:dyDescent="0.35">
      <c r="A71" t="s">
        <v>210</v>
      </c>
      <c r="B71" t="s">
        <v>14</v>
      </c>
      <c r="C71" t="s">
        <v>15</v>
      </c>
      <c r="D71" t="s">
        <v>38</v>
      </c>
      <c r="E71" t="s">
        <v>211</v>
      </c>
      <c r="F71" t="s">
        <v>40</v>
      </c>
      <c r="G71">
        <v>160</v>
      </c>
      <c r="H71" s="2" t="s">
        <v>27</v>
      </c>
      <c r="I71" t="s">
        <v>85</v>
      </c>
      <c r="J71" t="s">
        <v>21</v>
      </c>
      <c r="K71" t="s">
        <v>41</v>
      </c>
      <c r="L71">
        <v>4</v>
      </c>
      <c r="M71" t="s">
        <v>52</v>
      </c>
    </row>
    <row r="72" spans="1:13" hidden="1" x14ac:dyDescent="0.35">
      <c r="A72" t="s">
        <v>212</v>
      </c>
      <c r="B72" t="s">
        <v>48</v>
      </c>
      <c r="C72" t="s">
        <v>49</v>
      </c>
      <c r="D72" t="s">
        <v>32</v>
      </c>
      <c r="E72" t="s">
        <v>146</v>
      </c>
      <c r="F72" t="s">
        <v>213</v>
      </c>
      <c r="G72">
        <v>53</v>
      </c>
      <c r="H72" s="2" t="s">
        <v>27</v>
      </c>
      <c r="I72" t="s">
        <v>20</v>
      </c>
      <c r="J72" t="s">
        <v>21</v>
      </c>
      <c r="K72" t="s">
        <v>41</v>
      </c>
      <c r="L72">
        <v>2</v>
      </c>
      <c r="M72" t="s">
        <v>30</v>
      </c>
    </row>
    <row r="73" spans="1:13" hidden="1" x14ac:dyDescent="0.35">
      <c r="A73" t="s">
        <v>214</v>
      </c>
      <c r="B73" t="s">
        <v>48</v>
      </c>
      <c r="C73" t="s">
        <v>49</v>
      </c>
      <c r="D73" t="s">
        <v>32</v>
      </c>
      <c r="E73" t="s">
        <v>215</v>
      </c>
      <c r="F73" t="s">
        <v>216</v>
      </c>
      <c r="G73">
        <v>124</v>
      </c>
      <c r="H73" s="2" t="s">
        <v>27</v>
      </c>
      <c r="I73" t="s">
        <v>28</v>
      </c>
      <c r="J73" t="s">
        <v>21</v>
      </c>
      <c r="K73" t="s">
        <v>65</v>
      </c>
      <c r="L73">
        <v>4</v>
      </c>
      <c r="M73" t="s">
        <v>42</v>
      </c>
    </row>
    <row r="74" spans="1:13" hidden="1" x14ac:dyDescent="0.35">
      <c r="A74" t="s">
        <v>217</v>
      </c>
      <c r="B74" t="s">
        <v>36</v>
      </c>
      <c r="C74" t="s">
        <v>37</v>
      </c>
      <c r="D74" t="s">
        <v>16</v>
      </c>
      <c r="E74" t="s">
        <v>218</v>
      </c>
      <c r="F74" t="s">
        <v>110</v>
      </c>
      <c r="G74">
        <v>42</v>
      </c>
      <c r="H74" s="2" t="s">
        <v>27</v>
      </c>
      <c r="I74" t="s">
        <v>85</v>
      </c>
      <c r="J74" t="s">
        <v>29</v>
      </c>
      <c r="K74" t="s">
        <v>46</v>
      </c>
      <c r="L74">
        <v>5</v>
      </c>
      <c r="M74" t="s">
        <v>42</v>
      </c>
    </row>
    <row r="75" spans="1:13" hidden="1" x14ac:dyDescent="0.35">
      <c r="A75" t="s">
        <v>219</v>
      </c>
      <c r="B75" t="s">
        <v>48</v>
      </c>
      <c r="C75" t="s">
        <v>49</v>
      </c>
      <c r="D75" t="s">
        <v>16</v>
      </c>
      <c r="E75" t="s">
        <v>205</v>
      </c>
      <c r="F75" t="s">
        <v>220</v>
      </c>
      <c r="G75">
        <v>63</v>
      </c>
      <c r="H75" s="2" t="s">
        <v>27</v>
      </c>
      <c r="I75" t="s">
        <v>20</v>
      </c>
      <c r="J75" t="s">
        <v>29</v>
      </c>
      <c r="K75" t="s">
        <v>65</v>
      </c>
      <c r="L75">
        <v>4</v>
      </c>
      <c r="M75" t="s">
        <v>23</v>
      </c>
    </row>
    <row r="76" spans="1:13" hidden="1" x14ac:dyDescent="0.35">
      <c r="A76" t="s">
        <v>221</v>
      </c>
      <c r="B76" t="s">
        <v>48</v>
      </c>
      <c r="C76" t="s">
        <v>49</v>
      </c>
      <c r="D76" t="s">
        <v>16</v>
      </c>
      <c r="E76" t="s">
        <v>174</v>
      </c>
      <c r="F76" t="s">
        <v>222</v>
      </c>
      <c r="G76">
        <v>76</v>
      </c>
      <c r="H76" s="2" t="s">
        <v>27</v>
      </c>
      <c r="I76" t="s">
        <v>28</v>
      </c>
      <c r="J76" t="s">
        <v>21</v>
      </c>
      <c r="K76" t="s">
        <v>41</v>
      </c>
      <c r="L76">
        <v>4</v>
      </c>
      <c r="M76" t="s">
        <v>23</v>
      </c>
    </row>
    <row r="77" spans="1:13" hidden="1" x14ac:dyDescent="0.35">
      <c r="A77" t="s">
        <v>223</v>
      </c>
      <c r="B77" t="s">
        <v>36</v>
      </c>
      <c r="C77" t="s">
        <v>37</v>
      </c>
      <c r="D77" t="s">
        <v>16</v>
      </c>
      <c r="E77" t="s">
        <v>184</v>
      </c>
      <c r="F77" t="s">
        <v>224</v>
      </c>
      <c r="G77">
        <v>66</v>
      </c>
      <c r="H77" s="2" t="s">
        <v>27</v>
      </c>
      <c r="I77" t="s">
        <v>85</v>
      </c>
      <c r="J77" t="s">
        <v>29</v>
      </c>
      <c r="K77" t="s">
        <v>65</v>
      </c>
      <c r="L77">
        <v>2</v>
      </c>
      <c r="M77" t="s">
        <v>42</v>
      </c>
    </row>
    <row r="78" spans="1:13" hidden="1" x14ac:dyDescent="0.35">
      <c r="A78" t="s">
        <v>225</v>
      </c>
      <c r="B78" t="s">
        <v>36</v>
      </c>
      <c r="C78" t="s">
        <v>37</v>
      </c>
      <c r="D78" t="s">
        <v>38</v>
      </c>
      <c r="E78" t="s">
        <v>226</v>
      </c>
      <c r="F78" t="s">
        <v>227</v>
      </c>
      <c r="G78">
        <v>156</v>
      </c>
      <c r="H78" s="2" t="s">
        <v>19</v>
      </c>
      <c r="I78" t="s">
        <v>20</v>
      </c>
      <c r="J78" t="s">
        <v>29</v>
      </c>
      <c r="K78" t="s">
        <v>65</v>
      </c>
      <c r="L78">
        <v>4</v>
      </c>
      <c r="M78" t="s">
        <v>52</v>
      </c>
    </row>
    <row r="79" spans="1:13" hidden="1" x14ac:dyDescent="0.35">
      <c r="A79" t="s">
        <v>228</v>
      </c>
      <c r="B79" t="s">
        <v>36</v>
      </c>
      <c r="C79" t="s">
        <v>37</v>
      </c>
      <c r="D79" t="s">
        <v>32</v>
      </c>
      <c r="E79" t="s">
        <v>155</v>
      </c>
      <c r="F79" t="s">
        <v>205</v>
      </c>
      <c r="G79">
        <v>15</v>
      </c>
      <c r="H79" s="2" t="s">
        <v>27</v>
      </c>
      <c r="I79" t="s">
        <v>28</v>
      </c>
      <c r="J79" t="s">
        <v>29</v>
      </c>
      <c r="K79" t="s">
        <v>41</v>
      </c>
      <c r="L79">
        <v>1</v>
      </c>
      <c r="M79" t="s">
        <v>23</v>
      </c>
    </row>
    <row r="80" spans="1:13" hidden="1" x14ac:dyDescent="0.35">
      <c r="A80" t="s">
        <v>229</v>
      </c>
      <c r="B80" t="s">
        <v>36</v>
      </c>
      <c r="C80" t="s">
        <v>37</v>
      </c>
      <c r="D80" t="s">
        <v>32</v>
      </c>
      <c r="E80" t="s">
        <v>162</v>
      </c>
      <c r="F80" t="s">
        <v>230</v>
      </c>
      <c r="G80">
        <v>102</v>
      </c>
      <c r="H80" s="2" t="s">
        <v>27</v>
      </c>
      <c r="I80" t="s">
        <v>20</v>
      </c>
      <c r="J80" t="s">
        <v>29</v>
      </c>
      <c r="K80" t="s">
        <v>46</v>
      </c>
      <c r="L80">
        <v>3</v>
      </c>
      <c r="M80" t="s">
        <v>42</v>
      </c>
    </row>
    <row r="81" spans="1:13" hidden="1" x14ac:dyDescent="0.35">
      <c r="A81" t="s">
        <v>231</v>
      </c>
      <c r="B81" t="s">
        <v>36</v>
      </c>
      <c r="C81" t="s">
        <v>37</v>
      </c>
      <c r="D81" t="s">
        <v>32</v>
      </c>
      <c r="E81" t="s">
        <v>25</v>
      </c>
      <c r="F81" t="s">
        <v>232</v>
      </c>
      <c r="G81">
        <v>57</v>
      </c>
      <c r="H81" s="2" t="s">
        <v>19</v>
      </c>
      <c r="I81" t="s">
        <v>85</v>
      </c>
      <c r="J81" t="s">
        <v>21</v>
      </c>
      <c r="K81" t="s">
        <v>41</v>
      </c>
      <c r="L81">
        <v>2</v>
      </c>
      <c r="M81" t="s">
        <v>23</v>
      </c>
    </row>
    <row r="82" spans="1:13" x14ac:dyDescent="0.35">
      <c r="A82" t="s">
        <v>233</v>
      </c>
      <c r="B82" t="s">
        <v>14</v>
      </c>
      <c r="C82" t="s">
        <v>15</v>
      </c>
      <c r="D82" t="s">
        <v>32</v>
      </c>
      <c r="E82" t="s">
        <v>106</v>
      </c>
      <c r="F82" t="s">
        <v>156</v>
      </c>
      <c r="G82">
        <v>83</v>
      </c>
      <c r="H82" s="2" t="s">
        <v>27</v>
      </c>
      <c r="I82" t="s">
        <v>28</v>
      </c>
      <c r="J82" t="s">
        <v>21</v>
      </c>
      <c r="K82" t="s">
        <v>65</v>
      </c>
      <c r="L82">
        <v>1</v>
      </c>
      <c r="M82" t="s">
        <v>52</v>
      </c>
    </row>
    <row r="83" spans="1:13" hidden="1" x14ac:dyDescent="0.35">
      <c r="A83" t="s">
        <v>234</v>
      </c>
      <c r="B83" t="s">
        <v>48</v>
      </c>
      <c r="C83" t="s">
        <v>49</v>
      </c>
      <c r="D83" t="s">
        <v>32</v>
      </c>
      <c r="E83" t="s">
        <v>235</v>
      </c>
      <c r="F83" t="s">
        <v>236</v>
      </c>
      <c r="G83">
        <v>20</v>
      </c>
      <c r="H83" s="2" t="s">
        <v>27</v>
      </c>
      <c r="I83" t="s">
        <v>20</v>
      </c>
      <c r="J83" t="s">
        <v>29</v>
      </c>
      <c r="K83" t="s">
        <v>22</v>
      </c>
      <c r="L83">
        <v>2</v>
      </c>
      <c r="M83" t="s">
        <v>23</v>
      </c>
    </row>
    <row r="84" spans="1:13" hidden="1" x14ac:dyDescent="0.35">
      <c r="A84" t="s">
        <v>237</v>
      </c>
      <c r="B84" t="s">
        <v>48</v>
      </c>
      <c r="C84" t="s">
        <v>49</v>
      </c>
      <c r="D84" t="s">
        <v>32</v>
      </c>
      <c r="E84" t="s">
        <v>127</v>
      </c>
      <c r="F84" t="s">
        <v>81</v>
      </c>
      <c r="G84">
        <v>40</v>
      </c>
      <c r="H84" s="2" t="s">
        <v>27</v>
      </c>
      <c r="I84" t="s">
        <v>28</v>
      </c>
      <c r="J84" t="s">
        <v>21</v>
      </c>
      <c r="K84" t="s">
        <v>41</v>
      </c>
      <c r="L84">
        <v>3</v>
      </c>
      <c r="M84" t="s">
        <v>52</v>
      </c>
    </row>
    <row r="85" spans="1:13" x14ac:dyDescent="0.35">
      <c r="A85" t="s">
        <v>238</v>
      </c>
      <c r="B85" t="s">
        <v>14</v>
      </c>
      <c r="C85" t="s">
        <v>15</v>
      </c>
      <c r="D85" t="s">
        <v>32</v>
      </c>
      <c r="E85" t="s">
        <v>239</v>
      </c>
      <c r="F85" t="s">
        <v>222</v>
      </c>
      <c r="G85">
        <v>136</v>
      </c>
      <c r="H85" s="2" t="s">
        <v>27</v>
      </c>
      <c r="I85" t="s">
        <v>85</v>
      </c>
      <c r="J85" t="s">
        <v>21</v>
      </c>
      <c r="K85" t="s">
        <v>41</v>
      </c>
      <c r="L85">
        <v>5</v>
      </c>
      <c r="M85" t="s">
        <v>30</v>
      </c>
    </row>
    <row r="86" spans="1:13" hidden="1" x14ac:dyDescent="0.35">
      <c r="A86" t="s">
        <v>240</v>
      </c>
      <c r="B86" t="s">
        <v>36</v>
      </c>
      <c r="C86" t="s">
        <v>37</v>
      </c>
      <c r="D86" t="s">
        <v>32</v>
      </c>
      <c r="E86" t="s">
        <v>241</v>
      </c>
      <c r="F86" t="s">
        <v>242</v>
      </c>
      <c r="G86">
        <v>151</v>
      </c>
      <c r="H86" s="2" t="s">
        <v>19</v>
      </c>
      <c r="I86" t="s">
        <v>20</v>
      </c>
      <c r="J86" t="s">
        <v>29</v>
      </c>
      <c r="K86" t="s">
        <v>46</v>
      </c>
      <c r="L86">
        <v>3</v>
      </c>
      <c r="M86" t="s">
        <v>42</v>
      </c>
    </row>
    <row r="87" spans="1:13" hidden="1" x14ac:dyDescent="0.35">
      <c r="A87" t="s">
        <v>243</v>
      </c>
      <c r="B87" t="s">
        <v>48</v>
      </c>
      <c r="C87" t="s">
        <v>49</v>
      </c>
      <c r="D87" t="s">
        <v>32</v>
      </c>
      <c r="E87" t="s">
        <v>244</v>
      </c>
      <c r="F87" t="s">
        <v>79</v>
      </c>
      <c r="G87">
        <v>15</v>
      </c>
      <c r="H87" s="2" t="s">
        <v>27</v>
      </c>
      <c r="I87" t="s">
        <v>28</v>
      </c>
      <c r="J87" t="s">
        <v>29</v>
      </c>
      <c r="K87" t="s">
        <v>41</v>
      </c>
      <c r="L87">
        <v>3</v>
      </c>
      <c r="M87" t="s">
        <v>23</v>
      </c>
    </row>
    <row r="88" spans="1:13" hidden="1" x14ac:dyDescent="0.35">
      <c r="A88" t="s">
        <v>245</v>
      </c>
      <c r="B88" t="s">
        <v>48</v>
      </c>
      <c r="C88" t="s">
        <v>49</v>
      </c>
      <c r="D88" t="s">
        <v>32</v>
      </c>
      <c r="E88" t="s">
        <v>246</v>
      </c>
      <c r="F88" t="s">
        <v>247</v>
      </c>
      <c r="G88">
        <v>83</v>
      </c>
      <c r="H88" s="2" t="s">
        <v>19</v>
      </c>
      <c r="I88" t="s">
        <v>20</v>
      </c>
      <c r="J88" t="s">
        <v>29</v>
      </c>
      <c r="K88" t="s">
        <v>22</v>
      </c>
      <c r="L88">
        <v>3</v>
      </c>
      <c r="M88" t="s">
        <v>23</v>
      </c>
    </row>
    <row r="89" spans="1:13" hidden="1" x14ac:dyDescent="0.35">
      <c r="A89" t="s">
        <v>248</v>
      </c>
      <c r="B89" t="s">
        <v>48</v>
      </c>
      <c r="C89" t="s">
        <v>49</v>
      </c>
      <c r="D89" t="s">
        <v>32</v>
      </c>
      <c r="E89" t="s">
        <v>156</v>
      </c>
      <c r="F89" t="s">
        <v>249</v>
      </c>
      <c r="G89">
        <v>9</v>
      </c>
      <c r="H89" s="2" t="s">
        <v>27</v>
      </c>
      <c r="I89" t="s">
        <v>85</v>
      </c>
      <c r="J89" t="s">
        <v>29</v>
      </c>
      <c r="K89" t="s">
        <v>22</v>
      </c>
      <c r="L89">
        <v>5</v>
      </c>
      <c r="M89" t="s">
        <v>30</v>
      </c>
    </row>
    <row r="90" spans="1:13" hidden="1" x14ac:dyDescent="0.35">
      <c r="A90" t="s">
        <v>250</v>
      </c>
      <c r="B90" t="s">
        <v>48</v>
      </c>
      <c r="C90" t="s">
        <v>49</v>
      </c>
      <c r="D90" t="s">
        <v>38</v>
      </c>
      <c r="E90" t="s">
        <v>50</v>
      </c>
      <c r="F90" t="s">
        <v>251</v>
      </c>
      <c r="G90">
        <v>93</v>
      </c>
      <c r="H90" s="2" t="s">
        <v>27</v>
      </c>
      <c r="I90" t="s">
        <v>85</v>
      </c>
      <c r="J90" t="s">
        <v>29</v>
      </c>
      <c r="K90" t="s">
        <v>22</v>
      </c>
      <c r="L90">
        <v>2</v>
      </c>
      <c r="M90" t="s">
        <v>42</v>
      </c>
    </row>
    <row r="91" spans="1:13" hidden="1" x14ac:dyDescent="0.35">
      <c r="A91" t="s">
        <v>252</v>
      </c>
      <c r="B91" t="s">
        <v>48</v>
      </c>
      <c r="C91" t="s">
        <v>49</v>
      </c>
      <c r="D91" t="s">
        <v>38</v>
      </c>
      <c r="E91" t="s">
        <v>253</v>
      </c>
      <c r="F91" t="s">
        <v>254</v>
      </c>
      <c r="G91">
        <v>157</v>
      </c>
      <c r="H91" s="2" t="s">
        <v>27</v>
      </c>
      <c r="I91" t="s">
        <v>20</v>
      </c>
      <c r="J91" t="s">
        <v>29</v>
      </c>
      <c r="K91" t="s">
        <v>41</v>
      </c>
      <c r="L91">
        <v>4</v>
      </c>
      <c r="M91" t="s">
        <v>42</v>
      </c>
    </row>
    <row r="92" spans="1:13" hidden="1" x14ac:dyDescent="0.35">
      <c r="A92" t="s">
        <v>255</v>
      </c>
      <c r="B92" t="s">
        <v>48</v>
      </c>
      <c r="C92" t="s">
        <v>49</v>
      </c>
      <c r="D92" t="s">
        <v>32</v>
      </c>
      <c r="E92" t="s">
        <v>39</v>
      </c>
      <c r="F92" t="s">
        <v>256</v>
      </c>
      <c r="G92">
        <v>100</v>
      </c>
      <c r="H92" s="2" t="s">
        <v>19</v>
      </c>
      <c r="I92" t="s">
        <v>20</v>
      </c>
      <c r="J92" t="s">
        <v>29</v>
      </c>
      <c r="K92" t="s">
        <v>65</v>
      </c>
      <c r="L92">
        <v>4</v>
      </c>
      <c r="M92" t="s">
        <v>23</v>
      </c>
    </row>
    <row r="93" spans="1:13" hidden="1" x14ac:dyDescent="0.35">
      <c r="A93" t="s">
        <v>257</v>
      </c>
      <c r="B93" t="s">
        <v>36</v>
      </c>
      <c r="C93" t="s">
        <v>37</v>
      </c>
      <c r="D93" t="s">
        <v>38</v>
      </c>
      <c r="E93" t="s">
        <v>96</v>
      </c>
      <c r="F93" t="s">
        <v>258</v>
      </c>
      <c r="G93">
        <v>87</v>
      </c>
      <c r="H93" s="2" t="s">
        <v>19</v>
      </c>
      <c r="I93" t="s">
        <v>20</v>
      </c>
      <c r="J93" t="s">
        <v>29</v>
      </c>
      <c r="K93" t="s">
        <v>22</v>
      </c>
      <c r="L93">
        <v>4</v>
      </c>
      <c r="M93" t="s">
        <v>52</v>
      </c>
    </row>
    <row r="94" spans="1:13" x14ac:dyDescent="0.35">
      <c r="A94" t="s">
        <v>259</v>
      </c>
      <c r="B94" t="s">
        <v>14</v>
      </c>
      <c r="C94" t="s">
        <v>15</v>
      </c>
      <c r="D94" t="s">
        <v>32</v>
      </c>
      <c r="E94" t="s">
        <v>55</v>
      </c>
      <c r="F94" t="s">
        <v>251</v>
      </c>
      <c r="G94">
        <v>155</v>
      </c>
      <c r="H94" s="2" t="s">
        <v>27</v>
      </c>
      <c r="I94" t="s">
        <v>28</v>
      </c>
      <c r="J94" t="s">
        <v>29</v>
      </c>
      <c r="K94" t="s">
        <v>65</v>
      </c>
      <c r="L94">
        <v>4</v>
      </c>
      <c r="M94" t="s">
        <v>42</v>
      </c>
    </row>
    <row r="95" spans="1:13" hidden="1" x14ac:dyDescent="0.35">
      <c r="A95" t="s">
        <v>260</v>
      </c>
      <c r="B95" t="s">
        <v>48</v>
      </c>
      <c r="C95" t="s">
        <v>49</v>
      </c>
      <c r="D95" t="s">
        <v>16</v>
      </c>
      <c r="E95" t="s">
        <v>60</v>
      </c>
      <c r="F95" t="s">
        <v>261</v>
      </c>
      <c r="G95">
        <v>142</v>
      </c>
      <c r="H95" s="2" t="s">
        <v>27</v>
      </c>
      <c r="I95" t="s">
        <v>28</v>
      </c>
      <c r="J95" t="s">
        <v>21</v>
      </c>
      <c r="K95" t="s">
        <v>22</v>
      </c>
      <c r="L95">
        <v>5</v>
      </c>
      <c r="M95" t="s">
        <v>23</v>
      </c>
    </row>
    <row r="96" spans="1:13" hidden="1" x14ac:dyDescent="0.35">
      <c r="A96" t="s">
        <v>262</v>
      </c>
      <c r="B96" t="s">
        <v>36</v>
      </c>
      <c r="C96" t="s">
        <v>37</v>
      </c>
      <c r="D96" t="s">
        <v>32</v>
      </c>
      <c r="E96" t="s">
        <v>39</v>
      </c>
      <c r="F96" t="s">
        <v>140</v>
      </c>
      <c r="G96">
        <v>24</v>
      </c>
      <c r="H96" s="2" t="s">
        <v>27</v>
      </c>
      <c r="I96" t="s">
        <v>28</v>
      </c>
      <c r="J96" t="s">
        <v>21</v>
      </c>
      <c r="K96" t="s">
        <v>65</v>
      </c>
      <c r="L96">
        <v>1</v>
      </c>
      <c r="M96" t="s">
        <v>42</v>
      </c>
    </row>
    <row r="97" spans="1:13" x14ac:dyDescent="0.35">
      <c r="A97" t="s">
        <v>263</v>
      </c>
      <c r="B97" t="s">
        <v>14</v>
      </c>
      <c r="C97" t="s">
        <v>15</v>
      </c>
      <c r="D97" t="s">
        <v>16</v>
      </c>
      <c r="E97" t="s">
        <v>264</v>
      </c>
      <c r="F97" t="s">
        <v>168</v>
      </c>
      <c r="G97">
        <v>8</v>
      </c>
      <c r="H97" s="2" t="s">
        <v>19</v>
      </c>
      <c r="I97" t="s">
        <v>20</v>
      </c>
      <c r="J97" t="s">
        <v>29</v>
      </c>
      <c r="K97" t="s">
        <v>46</v>
      </c>
      <c r="L97">
        <v>2</v>
      </c>
      <c r="M97" t="s">
        <v>42</v>
      </c>
    </row>
    <row r="98" spans="1:13" hidden="1" x14ac:dyDescent="0.35">
      <c r="A98" t="s">
        <v>265</v>
      </c>
      <c r="B98" t="s">
        <v>48</v>
      </c>
      <c r="C98" t="s">
        <v>49</v>
      </c>
      <c r="D98" t="s">
        <v>38</v>
      </c>
      <c r="E98" t="s">
        <v>87</v>
      </c>
      <c r="F98" t="s">
        <v>266</v>
      </c>
      <c r="G98">
        <v>153</v>
      </c>
      <c r="H98" s="2" t="s">
        <v>27</v>
      </c>
      <c r="I98" t="s">
        <v>85</v>
      </c>
      <c r="J98" t="s">
        <v>21</v>
      </c>
      <c r="K98" t="s">
        <v>41</v>
      </c>
      <c r="L98">
        <v>3</v>
      </c>
      <c r="M98" t="s">
        <v>23</v>
      </c>
    </row>
    <row r="99" spans="1:13" hidden="1" x14ac:dyDescent="0.35">
      <c r="A99" t="s">
        <v>267</v>
      </c>
      <c r="B99" t="s">
        <v>36</v>
      </c>
      <c r="C99" t="s">
        <v>37</v>
      </c>
      <c r="D99" t="s">
        <v>16</v>
      </c>
      <c r="E99" t="s">
        <v>54</v>
      </c>
      <c r="F99" t="s">
        <v>268</v>
      </c>
      <c r="G99">
        <v>78</v>
      </c>
      <c r="H99" s="2" t="s">
        <v>27</v>
      </c>
      <c r="I99" t="s">
        <v>85</v>
      </c>
      <c r="J99" t="s">
        <v>21</v>
      </c>
      <c r="K99" t="s">
        <v>41</v>
      </c>
      <c r="L99">
        <v>3</v>
      </c>
      <c r="M99" t="s">
        <v>30</v>
      </c>
    </row>
    <row r="100" spans="1:13" hidden="1" x14ac:dyDescent="0.35">
      <c r="A100" t="s">
        <v>269</v>
      </c>
      <c r="B100" t="s">
        <v>36</v>
      </c>
      <c r="C100" t="s">
        <v>37</v>
      </c>
      <c r="D100" t="s">
        <v>38</v>
      </c>
      <c r="E100" t="s">
        <v>270</v>
      </c>
      <c r="F100" t="s">
        <v>247</v>
      </c>
      <c r="G100">
        <v>134</v>
      </c>
      <c r="H100" s="2" t="s">
        <v>27</v>
      </c>
      <c r="I100" t="s">
        <v>20</v>
      </c>
      <c r="J100" t="s">
        <v>21</v>
      </c>
      <c r="K100" t="s">
        <v>22</v>
      </c>
      <c r="L100">
        <v>4</v>
      </c>
      <c r="M100" t="s">
        <v>23</v>
      </c>
    </row>
    <row r="101" spans="1:13" x14ac:dyDescent="0.35">
      <c r="A101" t="s">
        <v>271</v>
      </c>
      <c r="B101" t="s">
        <v>14</v>
      </c>
      <c r="C101" t="s">
        <v>15</v>
      </c>
      <c r="D101" t="s">
        <v>38</v>
      </c>
      <c r="E101" t="s">
        <v>205</v>
      </c>
      <c r="F101" t="s">
        <v>63</v>
      </c>
      <c r="G101">
        <v>97</v>
      </c>
      <c r="H101" s="2" t="s">
        <v>19</v>
      </c>
      <c r="I101" t="s">
        <v>20</v>
      </c>
      <c r="J101" t="s">
        <v>29</v>
      </c>
      <c r="K101" t="s">
        <v>65</v>
      </c>
      <c r="L101">
        <v>5</v>
      </c>
      <c r="M101" t="s">
        <v>23</v>
      </c>
    </row>
    <row r="103" spans="1:13" x14ac:dyDescent="0.35">
      <c r="G103">
        <f>AVERAGE(G2:G101)</f>
        <v>93.53</v>
      </c>
    </row>
  </sheetData>
  <autoFilter ref="A1:M101" xr:uid="{00000000-0001-0000-0000-000000000000}">
    <filterColumn colId="2">
      <filters>
        <filter val="Southport NHS Trus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2BC4-034C-4C2A-8DA9-4635B237A57E}">
  <dimension ref="A1:C31"/>
  <sheetViews>
    <sheetView topLeftCell="A2" workbookViewId="0">
      <selection activeCell="A18" sqref="A18:B31"/>
    </sheetView>
  </sheetViews>
  <sheetFormatPr defaultRowHeight="14.5" x14ac:dyDescent="0.35"/>
  <cols>
    <col min="1" max="1" width="51.453125" customWidth="1"/>
    <col min="2" max="2" width="24.81640625" customWidth="1"/>
  </cols>
  <sheetData>
    <row r="1" spans="1:3" s="5" customFormat="1" x14ac:dyDescent="0.35">
      <c r="A1" s="5" t="s">
        <v>291</v>
      </c>
      <c r="B1" s="5" t="s">
        <v>295</v>
      </c>
      <c r="C1" s="5" t="s">
        <v>272</v>
      </c>
    </row>
    <row r="2" spans="1:3" x14ac:dyDescent="0.35">
      <c r="A2" s="1" t="s">
        <v>282</v>
      </c>
      <c r="B2" s="1">
        <v>93.53</v>
      </c>
      <c r="C2" s="1" t="s">
        <v>273</v>
      </c>
    </row>
    <row r="3" spans="1:3" x14ac:dyDescent="0.35">
      <c r="A3" s="1" t="s">
        <v>283</v>
      </c>
      <c r="B3" s="1">
        <v>99.5</v>
      </c>
      <c r="C3" s="1" t="s">
        <v>274</v>
      </c>
    </row>
    <row r="4" spans="1:3" x14ac:dyDescent="0.35">
      <c r="A4" s="1" t="s">
        <v>285</v>
      </c>
      <c r="B4" s="1">
        <v>71</v>
      </c>
      <c r="C4" s="1" t="s">
        <v>275</v>
      </c>
    </row>
    <row r="5" spans="1:3" s="2" customFormat="1" x14ac:dyDescent="0.35">
      <c r="A5" s="2" t="s">
        <v>286</v>
      </c>
      <c r="B5" s="2">
        <v>29</v>
      </c>
      <c r="C5" s="2" t="s">
        <v>287</v>
      </c>
    </row>
    <row r="6" spans="1:3" x14ac:dyDescent="0.35">
      <c r="A6" s="1" t="s">
        <v>284</v>
      </c>
      <c r="B6" s="1">
        <v>0</v>
      </c>
      <c r="C6" s="1" t="s">
        <v>276</v>
      </c>
    </row>
    <row r="7" spans="1:3" x14ac:dyDescent="0.35">
      <c r="A7" s="1" t="s">
        <v>288</v>
      </c>
      <c r="B7" s="4">
        <v>97.161290322580641</v>
      </c>
      <c r="C7" s="1" t="s">
        <v>281</v>
      </c>
    </row>
    <row r="8" spans="1:3" x14ac:dyDescent="0.35">
      <c r="A8" s="1" t="s">
        <v>290</v>
      </c>
      <c r="B8" s="4">
        <v>84.948717948717942</v>
      </c>
      <c r="C8" s="1" t="s">
        <v>281</v>
      </c>
    </row>
    <row r="9" spans="1:3" x14ac:dyDescent="0.35">
      <c r="A9" s="1" t="s">
        <v>289</v>
      </c>
      <c r="B9" s="4">
        <v>100.93333333333334</v>
      </c>
      <c r="C9" s="1" t="s">
        <v>281</v>
      </c>
    </row>
    <row r="10" spans="1:3" s="2" customFormat="1" x14ac:dyDescent="0.35">
      <c r="B10" s="4"/>
    </row>
    <row r="11" spans="1:3" s="2" customFormat="1" x14ac:dyDescent="0.35">
      <c r="A11" s="2" t="s">
        <v>296</v>
      </c>
      <c r="B11" s="4">
        <v>96.461538461538467</v>
      </c>
      <c r="C11" s="2" t="s">
        <v>300</v>
      </c>
    </row>
    <row r="12" spans="1:3" s="2" customFormat="1" x14ac:dyDescent="0.35">
      <c r="A12" s="2" t="s">
        <v>297</v>
      </c>
      <c r="B12" s="4">
        <v>95.390243902439025</v>
      </c>
    </row>
    <row r="13" spans="1:3" s="2" customFormat="1" x14ac:dyDescent="0.35">
      <c r="A13" s="2" t="s">
        <v>298</v>
      </c>
      <c r="B13" s="4">
        <v>88.909090909090907</v>
      </c>
      <c r="C13" s="2" t="s">
        <v>299</v>
      </c>
    </row>
    <row r="14" spans="1:3" s="2" customFormat="1" x14ac:dyDescent="0.35">
      <c r="B14" s="4"/>
    </row>
    <row r="15" spans="1:3" s="2" customFormat="1" x14ac:dyDescent="0.35">
      <c r="B15" s="4"/>
    </row>
    <row r="17" spans="1:2" s="5" customFormat="1" x14ac:dyDescent="0.35">
      <c r="A17" s="5" t="s">
        <v>278</v>
      </c>
    </row>
    <row r="18" spans="1:2" s="1" customFormat="1" x14ac:dyDescent="0.35">
      <c r="A18" s="3" t="s">
        <v>277</v>
      </c>
      <c r="B18" s="4">
        <v>93.325000000000003</v>
      </c>
    </row>
    <row r="19" spans="1:2" s="2" customFormat="1" x14ac:dyDescent="0.35">
      <c r="A19" s="2" t="s">
        <v>292</v>
      </c>
      <c r="B19" s="4">
        <v>91.193548387096769</v>
      </c>
    </row>
    <row r="20" spans="1:2" s="2" customFormat="1" x14ac:dyDescent="0.35">
      <c r="A20" s="2" t="s">
        <v>293</v>
      </c>
      <c r="B20" s="4">
        <v>100.66666666666667</v>
      </c>
    </row>
    <row r="21" spans="1:2" s="2" customFormat="1" x14ac:dyDescent="0.35">
      <c r="A21" s="2" t="s">
        <v>294</v>
      </c>
      <c r="B21" s="4">
        <v>0</v>
      </c>
    </row>
    <row r="22" spans="1:2" s="2" customFormat="1" x14ac:dyDescent="0.35"/>
    <row r="23" spans="1:2" s="1" customFormat="1" x14ac:dyDescent="0.35">
      <c r="A23" s="3" t="s">
        <v>279</v>
      </c>
      <c r="B23" s="4">
        <v>94.034482758620683</v>
      </c>
    </row>
    <row r="24" spans="1:2" s="2" customFormat="1" x14ac:dyDescent="0.35">
      <c r="A24" s="2" t="s">
        <v>292</v>
      </c>
      <c r="B24" s="4">
        <v>96.476190476190482</v>
      </c>
    </row>
    <row r="25" spans="1:2" s="2" customFormat="1" x14ac:dyDescent="0.35">
      <c r="A25" s="2" t="s">
        <v>293</v>
      </c>
      <c r="B25" s="4">
        <v>87.625</v>
      </c>
    </row>
    <row r="26" spans="1:2" s="2" customFormat="1" x14ac:dyDescent="0.35">
      <c r="A26" s="2" t="s">
        <v>294</v>
      </c>
      <c r="B26" s="2">
        <v>0</v>
      </c>
    </row>
    <row r="27" spans="1:2" s="2" customFormat="1" x14ac:dyDescent="0.35"/>
    <row r="28" spans="1:2" s="1" customFormat="1" x14ac:dyDescent="0.35">
      <c r="A28" s="3" t="s">
        <v>280</v>
      </c>
      <c r="B28" s="4">
        <v>93.322580645161295</v>
      </c>
    </row>
    <row r="29" spans="1:2" x14ac:dyDescent="0.35">
      <c r="A29" s="2" t="s">
        <v>292</v>
      </c>
      <c r="B29" s="4">
        <v>85.89473684210526</v>
      </c>
    </row>
    <row r="30" spans="1:2" x14ac:dyDescent="0.35">
      <c r="A30" s="2" t="s">
        <v>293</v>
      </c>
      <c r="B30" s="4">
        <v>105.08333333333333</v>
      </c>
    </row>
    <row r="31" spans="1:2" x14ac:dyDescent="0.35">
      <c r="A31" s="2" t="s">
        <v>294</v>
      </c>
      <c r="B31">
        <v>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97AF-1818-42D8-98F3-5DC725F1407D}">
  <dimension ref="A1:D34"/>
  <sheetViews>
    <sheetView tabSelected="1" workbookViewId="0">
      <selection activeCell="D29" sqref="D29"/>
    </sheetView>
  </sheetViews>
  <sheetFormatPr defaultRowHeight="14.5" x14ac:dyDescent="0.35"/>
  <cols>
    <col min="1" max="1" width="20.54296875" bestFit="1" customWidth="1"/>
    <col min="2" max="2" width="18.81640625" bestFit="1" customWidth="1"/>
    <col min="3" max="3" width="5.1796875" bestFit="1" customWidth="1"/>
    <col min="4" max="4" width="6" bestFit="1" customWidth="1"/>
    <col min="5" max="5" width="5.90625" bestFit="1" customWidth="1"/>
    <col min="6" max="6" width="10.7265625" bestFit="1" customWidth="1"/>
  </cols>
  <sheetData>
    <row r="1" spans="1:4" x14ac:dyDescent="0.35">
      <c r="A1" s="6" t="s">
        <v>10</v>
      </c>
      <c r="B1" s="2" t="s">
        <v>304</v>
      </c>
      <c r="D1" t="s">
        <v>305</v>
      </c>
    </row>
    <row r="3" spans="1:4" x14ac:dyDescent="0.35">
      <c r="A3" s="6" t="s">
        <v>301</v>
      </c>
      <c r="B3" t="s">
        <v>303</v>
      </c>
    </row>
    <row r="4" spans="1:4" x14ac:dyDescent="0.35">
      <c r="A4" s="7" t="s">
        <v>37</v>
      </c>
      <c r="B4" s="4">
        <v>93.322580645161295</v>
      </c>
    </row>
    <row r="5" spans="1:4" x14ac:dyDescent="0.35">
      <c r="A5" s="8" t="s">
        <v>85</v>
      </c>
      <c r="B5" s="4">
        <v>78.666666666666671</v>
      </c>
    </row>
    <row r="6" spans="1:4" x14ac:dyDescent="0.35">
      <c r="A6" s="9" t="s">
        <v>29</v>
      </c>
      <c r="B6" s="4">
        <v>82.444444444444443</v>
      </c>
    </row>
    <row r="7" spans="1:4" x14ac:dyDescent="0.35">
      <c r="A7" s="9" t="s">
        <v>21</v>
      </c>
      <c r="B7" s="4">
        <v>67.333333333333329</v>
      </c>
    </row>
    <row r="8" spans="1:4" x14ac:dyDescent="0.35">
      <c r="A8" s="8" t="s">
        <v>20</v>
      </c>
      <c r="B8" s="4">
        <v>125.1</v>
      </c>
    </row>
    <row r="9" spans="1:4" x14ac:dyDescent="0.35">
      <c r="A9" s="9" t="s">
        <v>29</v>
      </c>
      <c r="B9" s="4">
        <v>123.33333333333333</v>
      </c>
    </row>
    <row r="10" spans="1:4" x14ac:dyDescent="0.35">
      <c r="A10" s="9" t="s">
        <v>21</v>
      </c>
      <c r="B10" s="4">
        <v>127.75</v>
      </c>
    </row>
    <row r="11" spans="1:4" x14ac:dyDescent="0.35">
      <c r="A11" s="8" t="s">
        <v>28</v>
      </c>
      <c r="B11" s="4">
        <v>77.555555555555557</v>
      </c>
    </row>
    <row r="12" spans="1:4" x14ac:dyDescent="0.35">
      <c r="A12" s="9" t="s">
        <v>29</v>
      </c>
      <c r="B12" s="4">
        <v>49</v>
      </c>
    </row>
    <row r="13" spans="1:4" x14ac:dyDescent="0.35">
      <c r="A13" s="9" t="s">
        <v>21</v>
      </c>
      <c r="B13" s="4">
        <v>100.4</v>
      </c>
    </row>
    <row r="14" spans="1:4" x14ac:dyDescent="0.35">
      <c r="A14" s="7" t="s">
        <v>15</v>
      </c>
      <c r="B14" s="4">
        <v>94.034482758620683</v>
      </c>
    </row>
    <row r="15" spans="1:4" x14ac:dyDescent="0.35">
      <c r="A15" s="8" t="s">
        <v>85</v>
      </c>
      <c r="B15" s="4">
        <v>121</v>
      </c>
    </row>
    <row r="16" spans="1:4" x14ac:dyDescent="0.35">
      <c r="A16" s="9" t="s">
        <v>29</v>
      </c>
      <c r="B16" s="4">
        <v>102</v>
      </c>
    </row>
    <row r="17" spans="1:2" x14ac:dyDescent="0.35">
      <c r="A17" s="9" t="s">
        <v>21</v>
      </c>
      <c r="B17" s="4">
        <v>133.66666666666666</v>
      </c>
    </row>
    <row r="18" spans="1:2" x14ac:dyDescent="0.35">
      <c r="A18" s="8" t="s">
        <v>20</v>
      </c>
      <c r="B18" s="4">
        <v>67.538461538461533</v>
      </c>
    </row>
    <row r="19" spans="1:2" x14ac:dyDescent="0.35">
      <c r="A19" s="9" t="s">
        <v>29</v>
      </c>
      <c r="B19" s="4">
        <v>54.222222222222221</v>
      </c>
    </row>
    <row r="20" spans="1:2" x14ac:dyDescent="0.35">
      <c r="A20" s="9" t="s">
        <v>21</v>
      </c>
      <c r="B20" s="4">
        <v>97.5</v>
      </c>
    </row>
    <row r="21" spans="1:2" x14ac:dyDescent="0.35">
      <c r="A21" s="8" t="s">
        <v>28</v>
      </c>
      <c r="B21" s="4">
        <v>113.09090909090909</v>
      </c>
    </row>
    <row r="22" spans="1:2" x14ac:dyDescent="0.35">
      <c r="A22" s="9" t="s">
        <v>29</v>
      </c>
      <c r="B22" s="4">
        <v>120.33333333333333</v>
      </c>
    </row>
    <row r="23" spans="1:2" x14ac:dyDescent="0.35">
      <c r="A23" s="9" t="s">
        <v>21</v>
      </c>
      <c r="B23" s="4">
        <v>104.4</v>
      </c>
    </row>
    <row r="24" spans="1:2" x14ac:dyDescent="0.35">
      <c r="A24" s="7" t="s">
        <v>49</v>
      </c>
      <c r="B24" s="4">
        <v>93.325000000000003</v>
      </c>
    </row>
    <row r="25" spans="1:2" x14ac:dyDescent="0.35">
      <c r="A25" s="8" t="s">
        <v>85</v>
      </c>
      <c r="B25" s="4">
        <v>106.55555555555556</v>
      </c>
    </row>
    <row r="26" spans="1:2" x14ac:dyDescent="0.35">
      <c r="A26" s="9" t="s">
        <v>29</v>
      </c>
      <c r="B26" s="4">
        <v>71.666666666666671</v>
      </c>
    </row>
    <row r="27" spans="1:2" x14ac:dyDescent="0.35">
      <c r="A27" s="9" t="s">
        <v>21</v>
      </c>
      <c r="B27" s="4">
        <v>124</v>
      </c>
    </row>
    <row r="28" spans="1:2" x14ac:dyDescent="0.35">
      <c r="A28" s="8" t="s">
        <v>20</v>
      </c>
      <c r="B28" s="4">
        <v>99</v>
      </c>
    </row>
    <row r="29" spans="1:2" x14ac:dyDescent="0.35">
      <c r="A29" s="9" t="s">
        <v>29</v>
      </c>
      <c r="B29" s="4">
        <v>94.833333333333329</v>
      </c>
    </row>
    <row r="30" spans="1:2" x14ac:dyDescent="0.35">
      <c r="A30" s="9" t="s">
        <v>21</v>
      </c>
      <c r="B30" s="4">
        <v>107.33333333333333</v>
      </c>
    </row>
    <row r="31" spans="1:2" x14ac:dyDescent="0.35">
      <c r="A31" s="8" t="s">
        <v>28</v>
      </c>
      <c r="B31" s="4">
        <v>76.307692307692307</v>
      </c>
    </row>
    <row r="32" spans="1:2" x14ac:dyDescent="0.35">
      <c r="A32" s="9" t="s">
        <v>29</v>
      </c>
      <c r="B32" s="4">
        <v>58.166666666666664</v>
      </c>
    </row>
    <row r="33" spans="1:2" x14ac:dyDescent="0.35">
      <c r="A33" s="9" t="s">
        <v>21</v>
      </c>
      <c r="B33" s="4">
        <v>91.857142857142861</v>
      </c>
    </row>
    <row r="34" spans="1:2" x14ac:dyDescent="0.35">
      <c r="A34" s="7" t="s">
        <v>302</v>
      </c>
      <c r="B34" s="4">
        <v>93.53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clean datasets</vt:lpstr>
      <vt:lpstr>Results</vt:lpstr>
      <vt:lpstr>Waiting list 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Rosa Pandolfo</cp:lastModifiedBy>
  <dcterms:created xsi:type="dcterms:W3CDTF">2026-02-10T14:06:21Z</dcterms:created>
  <dcterms:modified xsi:type="dcterms:W3CDTF">2026-02-10T15:29:14Z</dcterms:modified>
</cp:coreProperties>
</file>